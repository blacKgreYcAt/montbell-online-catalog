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改款/推薦</t>
        </is>
      </c>
      <c r="C1" t="inlineStr">
        <is>
          <t>系列</t>
        </is>
      </c>
      <c r="D1" t="inlineStr">
        <is>
          <t>圖片</t>
        </is>
      </c>
      <c r="E1" t="inlineStr">
        <is>
          <t>型號</t>
        </is>
      </c>
      <c r="F1" t="inlineStr">
        <is>
          <t>品名</t>
        </is>
      </c>
      <c r="G1" t="inlineStr">
        <is>
          <t>色號名稱</t>
        </is>
      </c>
      <c r="H1" t="inlineStr">
        <is>
          <t>樣品色號</t>
        </is>
      </c>
      <c r="I1" t="inlineStr">
        <is>
          <t>尺寸</t>
        </is>
      </c>
      <c r="J1" t="inlineStr">
        <is>
          <t>訂價</t>
        </is>
      </c>
      <c r="K1" t="inlineStr">
        <is>
          <t>特色</t>
        </is>
      </c>
    </row>
    <row r="2">
      <c r="A2" t="inlineStr"/>
      <c r="B2" t="inlineStr"/>
      <c r="C2" t="inlineStr">
        <is>
          <t>ALLWEATHER</t>
        </is>
      </c>
      <c r="D2">
        <f>U2</f>
        <v/>
      </c>
      <c r="E2" t="n">
        <v>1128850</v>
      </c>
      <c r="F2" t="inlineStr">
        <is>
          <t>DRY-TEC FULL-ZIP RAIN PANTS MEN'S</t>
        </is>
      </c>
      <c r="G2" t="inlineStr">
        <is>
          <t>BK</t>
        </is>
      </c>
      <c r="H2" t="inlineStr">
        <is>
          <t>BK</t>
        </is>
      </c>
      <c r="I2">
        <f>VLOOKUP(H2,[1]尺寸簡表!$C$3:$D$1263,2,0)</f>
        <v/>
      </c>
      <c r="J2" t="n">
        <v>4040</v>
      </c>
      <c r="K2" t="inlineStr">
        <is>
          <t>◎ 重量：280g、 材質：50D抗撕裂尼龍表布，DRYTEC® 3L(耐水壓20,000mm+，透氣度17,000g/㎡)，布料不含 PFAS。</t>
        </is>
      </c>
    </row>
    <row r="3">
      <c r="A3" t="inlineStr"/>
      <c r="B3" t="inlineStr"/>
      <c r="C3" t="inlineStr">
        <is>
          <t>ALLWEATHER</t>
        </is>
      </c>
      <c r="D3">
        <f>U3</f>
        <v/>
      </c>
      <c r="E3" t="n">
        <v>1128851</v>
      </c>
      <c r="F3" t="inlineStr">
        <is>
          <t>DRY-TEC FULL-ZIP RAIN PANTS WOMEN'S</t>
        </is>
      </c>
      <c r="G3" t="inlineStr">
        <is>
          <t>BK</t>
        </is>
      </c>
      <c r="H3" t="inlineStr">
        <is>
          <t>BK</t>
        </is>
      </c>
      <c r="I3">
        <f>VLOOKUP(H3,[1]尺寸簡表!$C$3:$D$1263,2,0)</f>
        <v/>
      </c>
      <c r="J3" t="n">
        <v>3880</v>
      </c>
      <c r="K3" t="inlineStr">
        <is>
          <t>◎ 重量：264g、 材質：50D抗撕裂尼龍表布，DRYTEC® 3L(耐水壓20,000mm+，透氣度17,000g/㎡)，布料不含 PFAS。</t>
        </is>
      </c>
    </row>
    <row r="4">
      <c r="A4" t="inlineStr">
        <is>
          <t>促銷款</t>
        </is>
      </c>
      <c r="B4" t="inlineStr">
        <is>
          <t>活動款</t>
        </is>
      </c>
      <c r="C4" t="inlineStr">
        <is>
          <t>ALLWEATHER</t>
        </is>
      </c>
      <c r="D4">
        <f>U4</f>
        <v/>
      </c>
      <c r="E4" t="n">
        <v>1128848</v>
      </c>
      <c r="F4" t="inlineStr">
        <is>
          <t>DRY-TEC RAIN PANTS MEN'S</t>
        </is>
      </c>
      <c r="G4" t="inlineStr">
        <is>
          <t>BK</t>
        </is>
      </c>
      <c r="H4" t="inlineStr">
        <is>
          <t>BK</t>
        </is>
      </c>
      <c r="I4">
        <f>VLOOKUP(H4,[1]尺寸簡表!$C$3:$D$1263,2,0)</f>
        <v/>
      </c>
      <c r="J4" t="n">
        <v>2900</v>
      </c>
      <c r="K4" t="inlineStr">
        <is>
          <t>◎ 重量：233g、 材質：50D抗撕裂尼龍表布，DRYTEC® 3L(耐水壓20,000mm+，透氣度17,000g/㎡)，布料不含 PFAS。</t>
        </is>
      </c>
    </row>
    <row r="5">
      <c r="A5" t="inlineStr">
        <is>
          <t>促銷款</t>
        </is>
      </c>
      <c r="B5" t="inlineStr">
        <is>
          <t>活動款</t>
        </is>
      </c>
      <c r="C5" t="inlineStr">
        <is>
          <t>ALLWEATHER</t>
        </is>
      </c>
      <c r="D5">
        <f>U5</f>
        <v/>
      </c>
      <c r="E5" t="n">
        <v>1128849</v>
      </c>
      <c r="F5" t="inlineStr">
        <is>
          <t>DRY-TEC RAIN PANTS WOMEN'S</t>
        </is>
      </c>
      <c r="G5" t="inlineStr">
        <is>
          <t>GY      NV</t>
        </is>
      </c>
      <c r="H5" t="inlineStr">
        <is>
          <t>NV</t>
        </is>
      </c>
      <c r="I5">
        <f>VLOOKUP(H5,[1]尺寸簡表!$C$3:$D$1263,2,0)</f>
        <v/>
      </c>
      <c r="J5" t="n">
        <v>2900</v>
      </c>
      <c r="K5" t="inlineStr">
        <is>
          <t>◎ 重量：217g、 材質：50D抗撕裂尼龍表布，DRYTEC® 3L(耐水壓20,000mm+，透氣度17,000g/㎡)，布料不含 PFAS。</t>
        </is>
      </c>
    </row>
    <row r="6">
      <c r="A6" t="inlineStr"/>
      <c r="B6" t="inlineStr"/>
      <c r="C6" t="inlineStr">
        <is>
          <t>ALLWEATHER</t>
        </is>
      </c>
      <c r="D6">
        <f>U6</f>
        <v/>
      </c>
      <c r="E6" t="n">
        <v>1128842</v>
      </c>
      <c r="F6" t="inlineStr">
        <is>
          <t>GORE-TEX FULL-ZIP RAIN PANTS MEN'S</t>
        </is>
      </c>
      <c r="G6" t="inlineStr">
        <is>
          <t>BK      NV</t>
        </is>
      </c>
      <c r="H6" t="inlineStr">
        <is>
          <t>NV</t>
        </is>
      </c>
      <c r="I6">
        <f>VLOOKUP(H6,[1]尺寸簡表!$C$3:$D$1263,2,0)</f>
        <v/>
      </c>
      <c r="J6" t="n">
        <v>7770</v>
      </c>
      <c r="K6" t="inlineStr">
        <is>
          <t>◎ 20D 尼龍抗撕裂表布，GORE-TEX® C-Knit 3L(耐水壓20,000mm，透氣度24,000g/㎡)，平均重量 : 205 g。
◎ GORE-TEX 全開式拉鍊雨褲，不含PFAS。</t>
        </is>
      </c>
    </row>
    <row r="7">
      <c r="A7" t="inlineStr"/>
      <c r="B7" t="inlineStr"/>
      <c r="C7" t="inlineStr">
        <is>
          <t>ALLWEATHER</t>
        </is>
      </c>
      <c r="D7">
        <f>U7</f>
        <v/>
      </c>
      <c r="E7" t="n">
        <v>1128843</v>
      </c>
      <c r="F7" t="inlineStr">
        <is>
          <t>GORE-TEX FULL-ZIP RAIN PANTS WOMEN'S</t>
        </is>
      </c>
      <c r="G7" t="inlineStr">
        <is>
          <t>DGY</t>
        </is>
      </c>
      <c r="H7" t="inlineStr">
        <is>
          <t>DGY</t>
        </is>
      </c>
      <c r="I7">
        <f>VLOOKUP(H7,[1]尺寸簡表!$C$3:$D$1263,2,0)</f>
        <v/>
      </c>
      <c r="J7" t="n">
        <v>7380</v>
      </c>
      <c r="K7" t="inlineStr">
        <is>
          <t>◎ 20D 尼龍抗撕裂表布，GORE-TEX® C-Knit 3L(耐水壓20,000mm，透氣度24,000g/㎡)，平均重量 : 193 g。
◎ GORE-TEX 全開式拉鍊雨褲，不含PFAS。</t>
        </is>
      </c>
    </row>
    <row r="8">
      <c r="A8" t="inlineStr"/>
      <c r="B8" t="inlineStr"/>
      <c r="C8" t="inlineStr">
        <is>
          <t>ALLWEATHER</t>
        </is>
      </c>
      <c r="D8">
        <f>U8</f>
        <v/>
      </c>
      <c r="E8" t="n">
        <v>1128840</v>
      </c>
      <c r="F8" t="inlineStr">
        <is>
          <t>GORE-TEX RAIN PANTS MEN'S</t>
        </is>
      </c>
      <c r="G8" t="inlineStr">
        <is>
          <t>BK      GY</t>
        </is>
      </c>
      <c r="H8" t="inlineStr">
        <is>
          <t>GY</t>
        </is>
      </c>
      <c r="I8">
        <f>VLOOKUP(H8,[1]尺寸簡表!$C$3:$D$1263,2,0)</f>
        <v/>
      </c>
      <c r="J8" t="n">
        <v>6540</v>
      </c>
      <c r="K8" t="inlineStr">
        <is>
          <t>◎ 20D 尼龍抗撕裂表布，GORE-TEX® C-Knit 3L(耐水壓20,000mm，透氣度24,000g/㎡)，平均重量 : 181 g。
◎ GORE-TEX 輕量雨褲，不含PFAS。</t>
        </is>
      </c>
    </row>
    <row r="9">
      <c r="A9" t="inlineStr"/>
      <c r="B9" t="inlineStr"/>
      <c r="C9" t="inlineStr">
        <is>
          <t>ALLWEATHER</t>
        </is>
      </c>
      <c r="D9">
        <f>U9</f>
        <v/>
      </c>
      <c r="E9" t="n">
        <v>1128841</v>
      </c>
      <c r="F9" t="inlineStr">
        <is>
          <t>GORE-TEX RAIN PANTS WOMEN'S</t>
        </is>
      </c>
      <c r="G9" t="inlineStr">
        <is>
          <t>GY      NV</t>
        </is>
      </c>
      <c r="H9" t="inlineStr">
        <is>
          <t>NV</t>
        </is>
      </c>
      <c r="I9">
        <f>VLOOKUP(H9,[1]尺寸簡表!$C$3:$D$1263,2,0)</f>
        <v/>
      </c>
      <c r="J9" t="n">
        <v>6150</v>
      </c>
      <c r="K9" t="inlineStr">
        <is>
          <t>◎ 20D 尼龍抗撕裂表布，GORE-TEX® C-Knit 3L(耐水壓20,000mm，透氣度24,000g/㎡)，平均重量 : 167 g。
◎ GORE-TEX 輕量雨褲，不含PFAS。</t>
        </is>
      </c>
    </row>
    <row r="10">
      <c r="A10" t="inlineStr"/>
      <c r="B10" t="inlineStr"/>
      <c r="C10" t="inlineStr">
        <is>
          <t>ALLWEATHER</t>
        </is>
      </c>
      <c r="D10">
        <f>U10</f>
        <v/>
      </c>
      <c r="E10" t="n">
        <v>1128687</v>
      </c>
      <c r="F10" t="inlineStr">
        <is>
          <t>LIGHT WEIGHT RAIN WRAP</t>
        </is>
      </c>
      <c r="G10" t="inlineStr">
        <is>
          <t>BL      DGN      IV</t>
        </is>
      </c>
      <c r="H10" t="inlineStr">
        <is>
          <t>IV</t>
        </is>
      </c>
      <c r="I10">
        <f>VLOOKUP(H10,[1]尺寸簡表!$C$3:$D$1263,2,0)</f>
        <v/>
      </c>
      <c r="J10" t="n">
        <v>1330</v>
      </c>
      <c r="K10" t="inlineStr">
        <is>
          <t>◎ 重量：71g、裙長45cm（M號）、收納尺寸6x4x10cm。
◎ 40D尼龍表布，HYDROPRO® 2L（耐水壓5,000mm）。</t>
        </is>
      </c>
    </row>
    <row r="11">
      <c r="A11" t="inlineStr"/>
      <c r="B11" t="inlineStr"/>
      <c r="C11" t="inlineStr">
        <is>
          <t>ALLWEATHER</t>
        </is>
      </c>
      <c r="D11">
        <f>U11</f>
        <v/>
      </c>
      <c r="E11" t="n">
        <v>1128829</v>
      </c>
      <c r="F11" t="inlineStr">
        <is>
          <t>PACK WRAP RAIN COAT</t>
        </is>
      </c>
      <c r="G11" t="inlineStr">
        <is>
          <t>BK      CN      IV      YGN</t>
        </is>
      </c>
      <c r="H11" t="inlineStr">
        <is>
          <t>YGN</t>
        </is>
      </c>
      <c r="I11">
        <f>VLOOKUP(H11,[1]尺寸簡表!$C$3:$D$1263,2,0)</f>
        <v/>
      </c>
      <c r="J11" t="n">
        <v>4130</v>
      </c>
      <c r="K11" t="inlineStr">
        <is>
          <t>◎ 70D 尼龍表布(超耐久撥水加工)，DRYTEC® 2L(耐水壓20,000mm+，透氣度13,000g/㎡)。
◎ 重量 : 370g，不含 PFAS。</t>
        </is>
      </c>
    </row>
    <row r="12">
      <c r="A12" t="inlineStr"/>
      <c r="B12" t="inlineStr"/>
      <c r="C12" t="inlineStr">
        <is>
          <t>ALLWEATHER</t>
        </is>
      </c>
      <c r="D12">
        <f>U12</f>
        <v/>
      </c>
      <c r="E12" t="n">
        <v>1128787</v>
      </c>
      <c r="F12" t="inlineStr">
        <is>
          <t>PACK WRAP RAIN JACKET</t>
        </is>
      </c>
      <c r="G12" t="inlineStr">
        <is>
          <t>BGN      BK      KH      OG</t>
        </is>
      </c>
      <c r="H12" t="inlineStr">
        <is>
          <t>BGN</t>
        </is>
      </c>
      <c r="I12">
        <f>VLOOKUP(H12,[1]尺寸簡表!$C$3:$D$1263,2,0)</f>
        <v/>
      </c>
      <c r="J12" t="n">
        <v>4480</v>
      </c>
      <c r="K12" t="inlineStr">
        <is>
          <t>◎ 重量：295g。此款雨披外套可完全覆蓋30公升以內背包，快速應付突如其來的大雨。
◎ 表布：70D尼龍布（撥水加工），DRYTEC®2L（耐水壓20,000mm+，透氣度13,000g/㎡），布料不含 PFAS。
◎ 後背的背包延伸空間不用時可收納，附鬆緊帶可固定背包。</t>
        </is>
      </c>
    </row>
    <row r="13">
      <c r="A13" t="inlineStr"/>
      <c r="B13" t="inlineStr"/>
      <c r="C13" t="inlineStr">
        <is>
          <t>ALLWEATHER</t>
        </is>
      </c>
      <c r="D13">
        <f>U13</f>
        <v/>
      </c>
      <c r="E13" t="n">
        <v>1128731</v>
      </c>
      <c r="F13" t="inlineStr">
        <is>
          <t>PEAK SHELL JACKET MEN'S</t>
        </is>
      </c>
      <c r="G13" t="inlineStr">
        <is>
          <t>BL      NV      YL</t>
        </is>
      </c>
      <c r="H13" t="inlineStr">
        <is>
          <t>BL</t>
        </is>
      </c>
      <c r="I13">
        <f>VLOOKUP(H13,[1]尺寸簡表!$C$3:$D$1263,2,0)</f>
        <v/>
      </c>
      <c r="J13" t="n">
        <v>8600</v>
      </c>
      <c r="K13" t="inlineStr">
        <is>
          <t>◎ 重量：185g。
◎ 15D Ballistic Airlight®表布（撥水加工），GORE-TEX®3L（耐水壓20,000mm+，透氣度20,000g/㎡）、「K-MONO CUT™」一體式剪裁。</t>
        </is>
      </c>
    </row>
    <row r="14">
      <c r="A14" t="inlineStr"/>
      <c r="B14" t="inlineStr"/>
      <c r="C14" t="inlineStr">
        <is>
          <t>ALLWEATHER</t>
        </is>
      </c>
      <c r="D14">
        <f>U14</f>
        <v/>
      </c>
      <c r="E14" t="n">
        <v>1128732</v>
      </c>
      <c r="F14" t="inlineStr">
        <is>
          <t>PEAK SHELL JACKET WOMEN'S</t>
        </is>
      </c>
      <c r="G14" t="inlineStr">
        <is>
          <t>DGY      PU      TQ</t>
        </is>
      </c>
      <c r="H14" t="inlineStr">
        <is>
          <t>PU</t>
        </is>
      </c>
      <c r="I14">
        <f>VLOOKUP(H14,[1]尺寸簡表!$C$3:$D$1263,2,0)</f>
        <v/>
      </c>
      <c r="J14" t="n">
        <v>8600</v>
      </c>
      <c r="K14" t="inlineStr">
        <is>
          <t>◎ 重量：166g。
◎ 15D Ballistic Airlight®表布（撥水加工），GORE-TEX®3L（耐水壓20,000mm+，透氣度20,000g/㎡）、「K-MONO CUT™」一體式剪裁。</t>
        </is>
      </c>
    </row>
    <row r="15">
      <c r="A15" t="inlineStr"/>
      <c r="B15" t="inlineStr"/>
      <c r="C15" t="inlineStr">
        <is>
          <t>ALLWEATHER</t>
        </is>
      </c>
      <c r="D15">
        <f>U15</f>
        <v/>
      </c>
      <c r="E15" t="n">
        <v>1128668</v>
      </c>
      <c r="F15" t="inlineStr">
        <is>
          <t>PRINT TREKKING RAIN PONCHO</t>
        </is>
      </c>
      <c r="G15" t="inlineStr">
        <is>
          <t>IV      PIGN</t>
        </is>
      </c>
      <c r="I15">
        <f>VLOOKUP(H15,[1]尺寸簡表!$C$3:$D$1263,2,0)</f>
        <v/>
      </c>
      <c r="J15" t="n">
        <v>3040</v>
      </c>
      <c r="K15" t="inlineStr">
        <is>
          <t>◎ 輕便雨披，可背負背包用。重量：295g、收納尺寸：9×9×14cm。
◎ 40D 尼龍表布，HYDROPRO® 2L 防水塗層(耐水壓5,000mm)。</t>
        </is>
      </c>
    </row>
    <row r="16">
      <c r="A16" t="inlineStr">
        <is>
          <t>促銷款</t>
        </is>
      </c>
      <c r="B16" t="inlineStr">
        <is>
          <t>活動款</t>
        </is>
      </c>
      <c r="C16" t="inlineStr">
        <is>
          <t>ALLWEATHER</t>
        </is>
      </c>
      <c r="D16">
        <f>U16</f>
        <v/>
      </c>
      <c r="E16" t="n">
        <v>1128821</v>
      </c>
      <c r="F16" t="inlineStr">
        <is>
          <t>RAIN DANCER JACKET MEN'S</t>
        </is>
      </c>
      <c r="G16" t="inlineStr">
        <is>
          <t>BGY      BL      DGN      LGY      OG      YL</t>
        </is>
      </c>
      <c r="H16" t="inlineStr">
        <is>
          <t>BGY</t>
        </is>
      </c>
      <c r="I16">
        <f>VLOOKUP(H16,[1]尺寸簡表!$C$3:$D$1263,2,0)</f>
        <v/>
      </c>
      <c r="J16" t="n">
        <v>5020</v>
      </c>
      <c r="K16" t="inlineStr">
        <is>
          <t>◎ 40D 尼龍抗撕裂表布，(SUPER) DRYTEC 3L（耐水壓20,000mm+，透氣度32,000g/㎡），布料不含 PFAS，平均重量 : 317 g。
◎ 「K-MONOCUT™」一體式剪裁。</t>
        </is>
      </c>
    </row>
    <row r="17">
      <c r="A17" t="inlineStr">
        <is>
          <t>促銷款</t>
        </is>
      </c>
      <c r="B17" t="inlineStr">
        <is>
          <t>活動款</t>
        </is>
      </c>
      <c r="C17" t="inlineStr">
        <is>
          <t>ALLWEATHER</t>
        </is>
      </c>
      <c r="D17">
        <f>U17</f>
        <v/>
      </c>
      <c r="E17" t="n">
        <v>1128822</v>
      </c>
      <c r="F17" t="inlineStr">
        <is>
          <t>RAIN DANCER JACKET WOMEN'S</t>
        </is>
      </c>
      <c r="G17" t="inlineStr">
        <is>
          <t>BK      LGY      RAS      YL</t>
        </is>
      </c>
      <c r="H17" t="inlineStr">
        <is>
          <t>YL</t>
        </is>
      </c>
      <c r="I17">
        <f>VLOOKUP(H17,[1]尺寸簡表!$C$3:$D$1263,2,0)</f>
        <v/>
      </c>
      <c r="J17" t="n">
        <v>4680</v>
      </c>
      <c r="K17" t="inlineStr">
        <is>
          <t>◎ 40D 尼龍抗撕裂表布，(SUPER) DRYTEC 3L（耐水壓20,000mm+，透氣度32,000g/㎡），布料不含 PFAS。
◎ 「K-MONOCUT™」一體式剪裁。</t>
        </is>
      </c>
    </row>
    <row r="18">
      <c r="A18" t="inlineStr"/>
      <c r="B18" t="inlineStr"/>
      <c r="C18" t="inlineStr">
        <is>
          <t>ALLWEATHER</t>
        </is>
      </c>
      <c r="D18">
        <f>U18</f>
        <v/>
      </c>
      <c r="E18" t="n">
        <v>1128776</v>
      </c>
      <c r="F18" t="inlineStr">
        <is>
          <t>RAIN HIKER JACKET MEN'S</t>
        </is>
      </c>
      <c r="G18" t="inlineStr">
        <is>
          <t>BL      KH      NV      OG</t>
        </is>
      </c>
      <c r="H18" t="inlineStr">
        <is>
          <t>OG      KH</t>
        </is>
      </c>
      <c r="I18">
        <f>VLOOKUP(H18,[1]尺寸簡表!$C$3:$D$1263,2,0)</f>
        <v/>
      </c>
      <c r="J18" t="n">
        <v>3580</v>
      </c>
      <c r="K18" t="inlineStr">
        <is>
          <t>◎ 重量：265g、「K-MONO CUT™」一體式剪裁大量減少布料接縫，實現防水、輕量、耐磨的高性能。
◎ 表布：70D抗撕裂尼龍布(撥水加工)，DRYTEC® 2L(耐水壓20,000mm+，透氣度13,000g/㎡)，布料不含 PFAS。</t>
        </is>
      </c>
    </row>
    <row r="19">
      <c r="A19" t="inlineStr"/>
      <c r="B19" t="inlineStr"/>
      <c r="C19" t="inlineStr">
        <is>
          <t>ALLWEATHER</t>
        </is>
      </c>
      <c r="D19">
        <f>U19</f>
        <v/>
      </c>
      <c r="E19" t="n">
        <v>1128777</v>
      </c>
      <c r="F19" t="inlineStr">
        <is>
          <t>RAIN HIKER JACKET WOMEN'S</t>
        </is>
      </c>
      <c r="G19" t="inlineStr">
        <is>
          <t>KH      LBL      PU      TQ</t>
        </is>
      </c>
      <c r="H19" t="inlineStr">
        <is>
          <t>LBL      PU</t>
        </is>
      </c>
      <c r="I19">
        <f>VLOOKUP(H19,[1]尺寸簡表!$C$3:$D$1263,2,0)</f>
        <v/>
      </c>
      <c r="J19" t="n">
        <v>3270</v>
      </c>
      <c r="K19" t="inlineStr">
        <is>
          <t>◎ 重量：239g、「K-MONO CUT™」一體式剪裁大量減少布料接縫，實現防水、輕量、耐磨的高性能。
◎ 表布：70D抗撕裂尼龍布(撥水加工)，DRYTEC® 2L(耐水壓20,000mm+，透氣度13,000g/㎡)，布料不含 PFAS。</t>
        </is>
      </c>
    </row>
    <row r="20">
      <c r="A20" t="inlineStr"/>
      <c r="B20" t="inlineStr"/>
      <c r="C20" t="inlineStr">
        <is>
          <t>ALLWEATHER</t>
        </is>
      </c>
      <c r="D20">
        <f>U20</f>
        <v/>
      </c>
      <c r="E20" t="n">
        <v>1128825</v>
      </c>
      <c r="F20" t="inlineStr">
        <is>
          <t>RAIN HIKER PANTS MEN'S</t>
        </is>
      </c>
      <c r="G20" t="inlineStr">
        <is>
          <t>BK      OG</t>
        </is>
      </c>
      <c r="H20" t="inlineStr">
        <is>
          <t>OG</t>
        </is>
      </c>
      <c r="I20">
        <f>VLOOKUP(H20,[1]尺寸簡表!$C$3:$D$1263,2,0)</f>
        <v/>
      </c>
      <c r="J20" t="n">
        <v>2100</v>
      </c>
      <c r="K20" t="inlineStr">
        <is>
          <t>◎ 70D 尼龍表布(超耐久撥水加工)，DRYTEC® 2L(耐水壓20,000mm+，透氣度13,000g/㎡)。
◎ 重量 : 183g，不含 PFAS。</t>
        </is>
      </c>
    </row>
    <row r="21">
      <c r="A21" t="inlineStr"/>
      <c r="B21" t="inlineStr"/>
      <c r="C21" t="inlineStr">
        <is>
          <t>ALLWEATHER</t>
        </is>
      </c>
      <c r="D21">
        <f>U21</f>
        <v/>
      </c>
      <c r="E21" t="n">
        <v>1128826</v>
      </c>
      <c r="F21" t="inlineStr">
        <is>
          <t>RAIN HIKER PANTS WOMEN'S</t>
        </is>
      </c>
      <c r="G21" t="inlineStr">
        <is>
          <t>BK</t>
        </is>
      </c>
      <c r="H21" t="inlineStr">
        <is>
          <t>BK</t>
        </is>
      </c>
      <c r="I21">
        <f>VLOOKUP(H21,[1]尺寸簡表!$C$3:$D$1263,2,0)</f>
        <v/>
      </c>
      <c r="J21" t="n">
        <v>2100</v>
      </c>
      <c r="K21" t="inlineStr">
        <is>
          <t>◎ 70D 尼龍表布(超耐久撥水加工)，DRYTEC® 2L(耐水壓20,000mm+，透氣度13,000g/㎡)。
◎ 重量 : 172g，不含 PFAS。</t>
        </is>
      </c>
    </row>
    <row r="22">
      <c r="C22" t="inlineStr">
        <is>
          <t>ALLWEATHER</t>
        </is>
      </c>
      <c r="D22">
        <f>U22</f>
        <v/>
      </c>
      <c r="E22" t="n">
        <v>1128729</v>
      </c>
      <c r="F22" t="inlineStr">
        <is>
          <t>RAIN TREKKER JACKET MEN'S</t>
        </is>
      </c>
      <c r="G22" t="inlineStr">
        <is>
          <t>BK      DGN      NV      RD      YL</t>
        </is>
      </c>
      <c r="H22" t="inlineStr">
        <is>
          <t>YL      NV      BK</t>
        </is>
      </c>
      <c r="I22">
        <f>VLOOKUP(H22,[1]尺寸簡表!$C$3:$D$1263,2,0)</f>
        <v/>
      </c>
      <c r="J22" t="n">
        <v>7680</v>
      </c>
      <c r="K22" t="inlineStr">
        <is>
          <t>◎ 重量：301g。
◎ 50D Ballistic®表布，GORE-TEX®3L（耐水壓20,000mm+，透氣度20,000g/㎡）、「K-MONOCUT™」一體式剪裁。</t>
        </is>
      </c>
    </row>
    <row r="23">
      <c r="C23" t="inlineStr">
        <is>
          <t>ALLWEATHER</t>
        </is>
      </c>
      <c r="D23">
        <f>U23</f>
        <v/>
      </c>
      <c r="E23" t="n">
        <v>1128730</v>
      </c>
      <c r="F23" t="inlineStr">
        <is>
          <t>RAIN TREKKER JACKET WOMEN'S</t>
        </is>
      </c>
      <c r="G23" t="inlineStr">
        <is>
          <t>IV      KH      PK      PU      TQ</t>
        </is>
      </c>
      <c r="H23" t="inlineStr">
        <is>
          <t>PU      TQ      PK      KH</t>
        </is>
      </c>
      <c r="I23">
        <f>VLOOKUP(H23,[1]尺寸簡表!$C$3:$D$1263,2,0)</f>
        <v/>
      </c>
      <c r="J23" t="n">
        <v>7680</v>
      </c>
      <c r="K23" t="inlineStr">
        <is>
          <t>◎ 重量：272g。
◎ 50D Ballistic®表布，GORE-TEX®3L（耐水壓20,000mm+，透氣度20,000g/㎡）、「K-MONOCUT™」一體式剪裁。</t>
        </is>
      </c>
    </row>
    <row r="24">
      <c r="A24" t="inlineStr"/>
      <c r="B24" t="inlineStr"/>
      <c r="C24" t="inlineStr">
        <is>
          <t>ALLWEATHER</t>
        </is>
      </c>
      <c r="D24">
        <f>U24</f>
        <v/>
      </c>
      <c r="E24" t="n">
        <v>1128640</v>
      </c>
      <c r="F24" t="inlineStr">
        <is>
          <t>RAIN WRAP SKIRT</t>
        </is>
      </c>
      <c r="G24" t="inlineStr">
        <is>
          <t>GY      TN</t>
        </is>
      </c>
      <c r="H24" t="inlineStr">
        <is>
          <t>TN</t>
        </is>
      </c>
      <c r="I24">
        <f>VLOOKUP(H24,[1]尺寸簡表!$C$3:$D$1263,2,0)</f>
        <v/>
      </c>
      <c r="J24" t="n">
        <v>1600</v>
      </c>
      <c r="K24" t="inlineStr">
        <is>
          <t>◎ 50D 尼龍表布，DRYTEC® 3L(耐水壓20,000mm，透氣度15,000g/㎡)。
◎ 裙長：62cm（M尺寸）、收納尺寸：6×6×14cm。</t>
        </is>
      </c>
    </row>
    <row r="25">
      <c r="A25" t="inlineStr"/>
      <c r="B25" t="inlineStr"/>
      <c r="C25" t="inlineStr">
        <is>
          <t>ALLWEATHER</t>
        </is>
      </c>
      <c r="D25">
        <f>U25</f>
        <v/>
      </c>
      <c r="E25" t="n">
        <v>1128747</v>
      </c>
      <c r="F25" t="inlineStr">
        <is>
          <t>RAMBLER RAIN COAT MEN'S</t>
        </is>
      </c>
      <c r="G25" t="inlineStr">
        <is>
          <t>BK      TN</t>
        </is>
      </c>
      <c r="I25">
        <f>VLOOKUP(H25,[1]尺寸簡表!$C$3:$D$1263,2,0)</f>
        <v/>
      </c>
      <c r="J25" t="n">
        <v>7060</v>
      </c>
      <c r="K25" t="inlineStr">
        <is>
          <t>◎ 重量：429g。
◎ 50D DRYTEC®3L（耐水壓20,000mm+，透氣度15,000g/㎡）。</t>
        </is>
      </c>
    </row>
    <row r="26">
      <c r="A26" t="inlineStr"/>
      <c r="B26" t="inlineStr"/>
      <c r="C26" t="inlineStr">
        <is>
          <t>ALLWEATHER</t>
        </is>
      </c>
      <c r="D26">
        <f>U26</f>
        <v/>
      </c>
      <c r="E26" t="n">
        <v>1128748</v>
      </c>
      <c r="F26" t="inlineStr">
        <is>
          <t>RAMBLER RAIN COAT WOMEN'S</t>
        </is>
      </c>
      <c r="G26" t="inlineStr">
        <is>
          <t>IV      KH      NV</t>
        </is>
      </c>
      <c r="H26" t="inlineStr">
        <is>
          <t>IV</t>
        </is>
      </c>
      <c r="I26">
        <f>VLOOKUP(H26,[1]尺寸簡表!$C$3:$D$1263,2,0)</f>
        <v/>
      </c>
      <c r="J26" t="n">
        <v>6660</v>
      </c>
      <c r="K26" t="inlineStr">
        <is>
          <t>◎ 重量：366g。
◎ 50D DRYTEC®3L（耐水壓20,000mm+，透氣度15,000g/㎡）。</t>
        </is>
      </c>
    </row>
    <row r="27">
      <c r="A27" t="inlineStr"/>
      <c r="B27" t="inlineStr"/>
      <c r="C27" t="inlineStr">
        <is>
          <t>ALLWEATHER</t>
        </is>
      </c>
      <c r="D27">
        <f>U27</f>
        <v/>
      </c>
      <c r="E27" t="n">
        <v>1128733</v>
      </c>
      <c r="F27" t="inlineStr">
        <is>
          <t>STORM CRUISER JACKET MEN'S</t>
        </is>
      </c>
      <c r="G27" t="inlineStr">
        <is>
          <t>BGN      BK      BL26      RD      YL</t>
        </is>
      </c>
      <c r="H27" t="inlineStr">
        <is>
          <t>BGN      BL26      YL</t>
        </is>
      </c>
      <c r="I27">
        <f>VLOOKUP(H27,[1]尺寸簡表!$C$3:$D$1263,2,0)</f>
        <v/>
      </c>
      <c r="J27" t="n">
        <v>7100</v>
      </c>
      <c r="K27" t="inlineStr">
        <is>
          <t>◎ 重量：254g。
◎ 30D Ballistic® 尼龍，(SUPER) DRYTEC 3L（耐水壓20,000mm+，透氣度40,000g/㎡）、「K-MONO CUT™」一體式剪裁。</t>
        </is>
      </c>
    </row>
    <row r="28">
      <c r="A28" t="inlineStr"/>
      <c r="B28" t="inlineStr"/>
      <c r="C28" t="inlineStr">
        <is>
          <t>ALLWEATHER</t>
        </is>
      </c>
      <c r="D28">
        <f>U28</f>
        <v/>
      </c>
      <c r="E28" t="n">
        <v>1128735</v>
      </c>
      <c r="F28" t="inlineStr">
        <is>
          <t>STORM CRUISER JACKET WOMEN'S</t>
        </is>
      </c>
      <c r="G28" t="inlineStr">
        <is>
          <t>DGY      IV      PK      TQ      YL</t>
        </is>
      </c>
      <c r="H28" t="inlineStr">
        <is>
          <t>TQ</t>
        </is>
      </c>
      <c r="I28">
        <f>VLOOKUP(H28,[1]尺寸簡表!$C$3:$D$1263,2,0)</f>
        <v/>
      </c>
      <c r="J28" t="n">
        <v>7100</v>
      </c>
      <c r="K28" t="inlineStr">
        <is>
          <t>◎ 重量：225g。
◎ 30D Ballistic®尼龍，(SUPER) DRYTEC 3L（耐水壓20,000mm+，透氣度40,000g/㎡）、「K-MONO CUT™」一體式剪裁。</t>
        </is>
      </c>
    </row>
    <row r="29">
      <c r="A29" t="inlineStr"/>
      <c r="B29" t="inlineStr"/>
      <c r="C29" t="inlineStr">
        <is>
          <t>ALLWEATHER</t>
        </is>
      </c>
      <c r="D29">
        <f>U29</f>
        <v/>
      </c>
      <c r="E29" t="n">
        <v>1128846</v>
      </c>
      <c r="F29" t="inlineStr">
        <is>
          <t>SUPER DRY-TEC FULL-ZIP RAIN PANTS MEN'S</t>
        </is>
      </c>
      <c r="G29" t="inlineStr">
        <is>
          <t>BK      NV</t>
        </is>
      </c>
      <c r="H29" t="inlineStr">
        <is>
          <t>NV</t>
        </is>
      </c>
      <c r="I29">
        <f>VLOOKUP(H29,[1]尺寸簡表!$C$3:$D$1263,2,0)</f>
        <v/>
      </c>
      <c r="J29" t="n">
        <v>5440</v>
      </c>
      <c r="K29" t="inlineStr">
        <is>
          <t>◎ 30D 尼龍抗撕裂表布，(SUPER) DRYTEC® 3L(耐水壓20,000mm+，透氣度52,700g/㎡)，平均重量 : 219 g。
◎ 防水超透氣全開拉鍊雨褲，不含PFAS。</t>
        </is>
      </c>
    </row>
    <row r="30">
      <c r="A30" t="inlineStr"/>
      <c r="B30" t="inlineStr"/>
      <c r="C30" t="inlineStr">
        <is>
          <t>ALLWEATHER</t>
        </is>
      </c>
      <c r="D30">
        <f>U30</f>
        <v/>
      </c>
      <c r="E30" t="n">
        <v>1128847</v>
      </c>
      <c r="F30" t="inlineStr">
        <is>
          <t>SUPER DRY-TEC FULL-ZIP RAIN PANTS WOMEN'S</t>
        </is>
      </c>
      <c r="G30" t="inlineStr">
        <is>
          <t>BK</t>
        </is>
      </c>
      <c r="H30" t="inlineStr">
        <is>
          <t>BK</t>
        </is>
      </c>
      <c r="I30">
        <f>VLOOKUP(H30,[1]尺寸簡表!$C$3:$D$1263,2,0)</f>
        <v/>
      </c>
      <c r="J30" t="n">
        <v>5160</v>
      </c>
      <c r="K30" t="inlineStr">
        <is>
          <t>◎ 30D 尼龍抗撕裂表布，(SUPER) DRYTEC® 3L(耐水壓20,000mm+，透氣度52,700g/㎡)，平均重量 : 204 g。
◎ 防水超透氣全開拉鍊雨褲，不含PFAS。</t>
        </is>
      </c>
    </row>
    <row r="31">
      <c r="A31" t="inlineStr"/>
      <c r="B31" t="inlineStr"/>
      <c r="C31" t="inlineStr">
        <is>
          <t>ALLWEATHER</t>
        </is>
      </c>
      <c r="D31">
        <f>U31</f>
        <v/>
      </c>
      <c r="E31" t="n">
        <v>1128844</v>
      </c>
      <c r="F31" t="inlineStr">
        <is>
          <t>SUPER DRY-TEC RAIN PANTS MEN'S</t>
        </is>
      </c>
      <c r="G31" t="inlineStr">
        <is>
          <t>BK      GY      NV      RD</t>
        </is>
      </c>
      <c r="H31" t="inlineStr">
        <is>
          <t>RD</t>
        </is>
      </c>
      <c r="I31">
        <f>VLOOKUP(H31,[1]尺寸簡表!$C$3:$D$1263,2,0)</f>
        <v/>
      </c>
      <c r="J31" t="n">
        <v>4320</v>
      </c>
      <c r="K31" t="inlineStr">
        <is>
          <t>◎ 30D 尼龍抗撕裂表布，(SUPER) DRYTEC® 3L(耐水壓20,000mm+，透氣度52,700g/㎡)，平均重量 : 197 g。
◎ 輕量防水超透氣全開拉鍊雨褲，不含PFAS。</t>
        </is>
      </c>
    </row>
    <row r="32">
      <c r="A32" t="inlineStr"/>
      <c r="B32" t="inlineStr"/>
      <c r="C32" t="inlineStr">
        <is>
          <t>ALLWEATHER</t>
        </is>
      </c>
      <c r="D32">
        <f>U32</f>
        <v/>
      </c>
      <c r="E32" t="n">
        <v>1128845</v>
      </c>
      <c r="F32" t="inlineStr">
        <is>
          <t>SUPER DRY-TEC RAIN PANTS WOMEN'S</t>
        </is>
      </c>
      <c r="G32" t="inlineStr">
        <is>
          <t>BK      NV      TQ</t>
        </is>
      </c>
      <c r="H32" t="inlineStr">
        <is>
          <t>TQ</t>
        </is>
      </c>
      <c r="I32">
        <f>VLOOKUP(H32,[1]尺寸簡表!$C$3:$D$1263,2,0)</f>
        <v/>
      </c>
      <c r="J32" t="n">
        <v>3990</v>
      </c>
      <c r="K32" t="inlineStr">
        <is>
          <t>◎ 30D 尼龍抗撕裂表布，(SUPER) DRYTEC® 3L(耐水壓20,000mm+，透氣度52,700g/㎡)，平均重量 : 181 g。
◎ 輕量防水超透氣全開拉鍊雨褲，不含PFAS。</t>
        </is>
      </c>
    </row>
    <row r="33">
      <c r="A33" t="inlineStr"/>
      <c r="B33" t="inlineStr"/>
      <c r="C33" t="inlineStr">
        <is>
          <t>ALLWEATHER</t>
        </is>
      </c>
      <c r="D33">
        <f>U33</f>
        <v/>
      </c>
      <c r="E33" t="n">
        <v>1128784</v>
      </c>
      <c r="F33" t="inlineStr">
        <is>
          <t>SUPER DRY-TEC STRETCH RAIN PANTS MEN'S</t>
        </is>
      </c>
      <c r="G33" t="inlineStr">
        <is>
          <t>BK      BL</t>
        </is>
      </c>
      <c r="H33" t="inlineStr">
        <is>
          <t>BK</t>
        </is>
      </c>
      <c r="I33">
        <f>VLOOKUP(H33,[1]尺寸簡表!$C$3:$D$1263,2,0)</f>
        <v/>
      </c>
      <c r="J33" t="n">
        <v>4940</v>
      </c>
      <c r="K33" t="inlineStr">
        <is>
          <t>◎ 重量：172g。15D Ballistic Airlight®表布，(SUPER) DRYTEC 3L（耐水壓20,000mm+，透氣度50,000g/㎡），不含PFAS。</t>
        </is>
      </c>
    </row>
    <row r="34">
      <c r="A34" t="inlineStr"/>
      <c r="B34" t="inlineStr"/>
      <c r="C34" t="inlineStr">
        <is>
          <t>ALLWEATHER</t>
        </is>
      </c>
      <c r="D34">
        <f>U34</f>
        <v/>
      </c>
      <c r="E34" t="n">
        <v>1128785</v>
      </c>
      <c r="F34" t="inlineStr">
        <is>
          <t>SUPER DRY-TEC STRETCH RAIN PANTS WOMEN'S</t>
        </is>
      </c>
      <c r="G34" t="inlineStr">
        <is>
          <t>BK      GY</t>
        </is>
      </c>
      <c r="H34" t="inlineStr">
        <is>
          <t>BK</t>
        </is>
      </c>
      <c r="I34">
        <f>VLOOKUP(H34,[1]尺寸簡表!$C$3:$D$1263,2,0)</f>
        <v/>
      </c>
      <c r="J34" t="n">
        <v>4630</v>
      </c>
      <c r="K34" t="inlineStr">
        <is>
          <t>◎ 重量：158g。15D Ballistic Airlight®表布，(SUPER) DRYTEC 3L（耐水壓20,000mm+，透氣度50,000g/㎡），不含PFAS。</t>
        </is>
      </c>
    </row>
    <row r="35">
      <c r="A35" t="inlineStr"/>
      <c r="B35" t="inlineStr"/>
      <c r="C35" t="inlineStr">
        <is>
          <t>ALLWEATHER</t>
        </is>
      </c>
      <c r="D35">
        <f>U35</f>
        <v/>
      </c>
      <c r="E35" t="n">
        <v>1128745</v>
      </c>
      <c r="F35" t="inlineStr">
        <is>
          <t>SUPER DRY-TEC U.L. RAIN PANTS MEN'S</t>
        </is>
      </c>
      <c r="G35" t="inlineStr">
        <is>
          <t>BK</t>
        </is>
      </c>
      <c r="H35" t="inlineStr">
        <is>
          <t>BK</t>
        </is>
      </c>
      <c r="I35">
        <f>VLOOKUP(H35,[1]尺寸簡表!$C$3:$D$1263,2,0)</f>
        <v/>
      </c>
      <c r="J35" t="n">
        <v>4800</v>
      </c>
      <c r="K35" t="inlineStr">
        <is>
          <t>◎ 重量：116g。
◎ 7D Ballistic Airlight®表布，(SUPER) DRYTEC 3L（耐水壓20,000mm+，透氣度50,000g/㎡）。</t>
        </is>
      </c>
    </row>
    <row r="36">
      <c r="A36" t="inlineStr"/>
      <c r="B36" t="inlineStr"/>
      <c r="C36" t="inlineStr">
        <is>
          <t>ALLWEATHER</t>
        </is>
      </c>
      <c r="D36">
        <f>U36</f>
        <v/>
      </c>
      <c r="E36" t="n">
        <v>1128746</v>
      </c>
      <c r="F36" t="inlineStr">
        <is>
          <t>SUPER DRY-TEC U.L. RAIN PANTS WOMEN'S</t>
        </is>
      </c>
      <c r="G36" t="inlineStr">
        <is>
          <t>DGY</t>
        </is>
      </c>
      <c r="I36">
        <f>VLOOKUP(H36,[1]尺寸簡表!$C$3:$D$1263,2,0)</f>
        <v/>
      </c>
      <c r="J36" t="n">
        <v>4800</v>
      </c>
      <c r="K36" t="inlineStr">
        <is>
          <t>◎ 7D Ballistic Airlight®表布，(SUPER) DRYTEC 3L（耐水壓20,000mm+，透氣度50,000g/㎡）。</t>
        </is>
      </c>
    </row>
    <row r="37">
      <c r="A37" t="inlineStr"/>
      <c r="B37" t="inlineStr"/>
      <c r="C37" t="inlineStr">
        <is>
          <t>ALLWEATHER</t>
        </is>
      </c>
      <c r="D37">
        <f>U37</f>
        <v/>
      </c>
      <c r="E37" t="n">
        <v>1128721</v>
      </c>
      <c r="F37" t="inlineStr">
        <is>
          <t>TEMPEST JACKET MEN'S</t>
        </is>
      </c>
      <c r="G37" t="inlineStr">
        <is>
          <t>BL      KH      NV      OG      RD</t>
        </is>
      </c>
      <c r="H37" t="inlineStr">
        <is>
          <t>OG      BL      NV      KH</t>
        </is>
      </c>
      <c r="I37">
        <f>VLOOKUP(H37,[1]尺寸簡表!$C$3:$D$1263,2,0)</f>
        <v/>
      </c>
      <c r="J37" t="n">
        <v>9200</v>
      </c>
      <c r="K37" t="inlineStr">
        <is>
          <t>◎ 重量：247g。
◎ 20D GORE-TEX® 3L（耐水壓20,000mm+，透氣度20,000g/㎡）、「K-MONO CUT™」一體式剪裁。</t>
        </is>
      </c>
    </row>
    <row r="38">
      <c r="A38" t="inlineStr"/>
      <c r="B38" t="inlineStr"/>
      <c r="C38" t="inlineStr">
        <is>
          <t>ALLWEATHER</t>
        </is>
      </c>
      <c r="D38">
        <f>U38</f>
        <v/>
      </c>
      <c r="E38" t="n">
        <v>1128723</v>
      </c>
      <c r="F38" t="inlineStr">
        <is>
          <t>TEMPEST JACKET WOMEN'S</t>
        </is>
      </c>
      <c r="G38" t="inlineStr">
        <is>
          <t>LBL      LGN      NV      PK      TQ</t>
        </is>
      </c>
      <c r="H38" t="inlineStr">
        <is>
          <t>LBL      NV      TQ</t>
        </is>
      </c>
      <c r="I38">
        <f>VLOOKUP(H38,[1]尺寸簡表!$C$3:$D$1263,2,0)</f>
        <v/>
      </c>
      <c r="J38" t="n">
        <v>9200</v>
      </c>
      <c r="K38" t="inlineStr">
        <is>
          <t>◎ 重量：223g。
◎ 20D GORE-TEX® 3L（耐水壓20,000mm+，透氣度20,000g/㎡）、「K-MONO CUT™」一體式剪裁。</t>
        </is>
      </c>
    </row>
    <row r="39">
      <c r="A39" t="inlineStr"/>
      <c r="B39" t="inlineStr"/>
      <c r="C39" t="inlineStr">
        <is>
          <t>ALLWEATHER</t>
        </is>
      </c>
      <c r="D39">
        <f>U39</f>
        <v/>
      </c>
      <c r="E39" t="n">
        <v>1128770</v>
      </c>
      <c r="F39" t="inlineStr">
        <is>
          <t>THUNDER PASS JACKET MEN'S</t>
        </is>
      </c>
      <c r="G39" t="inlineStr">
        <is>
          <t>BK      BL      DGY      GN      RD      TN      YL</t>
        </is>
      </c>
      <c r="H39" t="inlineStr">
        <is>
          <t>RD      BL      GN      TN      DGY      YL</t>
        </is>
      </c>
      <c r="I39">
        <f>VLOOKUP(H39,[1]尺寸簡表!$C$3:$D$1263,2,0)</f>
        <v/>
      </c>
      <c r="J39" t="n">
        <v>4400</v>
      </c>
      <c r="K39" t="inlineStr">
        <is>
          <t>◎ 重量：324g、 材質：50D抗撕裂尼龍表布(撥水加工)，DRYTEC® 3L(耐水壓20,000mm+，透氣度17,000g/㎡)，布料不含 PFAS。
◎ 前襟拉鍊為防水拉鍊（口袋拉鍊有蓋片），重量輕。</t>
        </is>
      </c>
    </row>
    <row r="40">
      <c r="A40" t="inlineStr"/>
      <c r="B40" t="inlineStr"/>
      <c r="C40" t="inlineStr">
        <is>
          <t>ALLWEATHER</t>
        </is>
      </c>
      <c r="D40">
        <f>U40</f>
        <v/>
      </c>
      <c r="E40" t="n">
        <v>1128771</v>
      </c>
      <c r="F40" t="inlineStr">
        <is>
          <t>THUNDER PASS JACKET WOMEN'S</t>
        </is>
      </c>
      <c r="G40" t="inlineStr">
        <is>
          <t>BN      IV      LBL      RD      TQ</t>
        </is>
      </c>
      <c r="H40" t="inlineStr">
        <is>
          <t>IV      TQ      RD      BN      LBL</t>
        </is>
      </c>
      <c r="I40">
        <f>VLOOKUP(H40,[1]尺寸簡表!$C$3:$D$1263,2,0)</f>
        <v/>
      </c>
      <c r="J40" t="n">
        <v>4400</v>
      </c>
      <c r="K40" t="inlineStr">
        <is>
          <t>◎ 重量：298g、 材質：50D抗撕裂尼龍表布(撥水加工)，DRYTEC® 3L(耐水壓20,000mm+，透氣度17,000g/㎡)，布料不含 PFAS。
◎ 前襟拉鍊為防水拉鍊（口袋拉鍊有蓋片），重量輕。</t>
        </is>
      </c>
    </row>
    <row r="41">
      <c r="A41" t="inlineStr"/>
      <c r="B41" t="inlineStr"/>
      <c r="C41" t="inlineStr">
        <is>
          <t>ALLWEATHER</t>
        </is>
      </c>
      <c r="D41">
        <f>U41</f>
        <v/>
      </c>
      <c r="E41" t="n">
        <v>1128782</v>
      </c>
      <c r="F41" t="inlineStr">
        <is>
          <t>TORRENT FLIER JACKET MEN'S</t>
        </is>
      </c>
      <c r="G41" t="inlineStr">
        <is>
          <t>BK      BL      OG      YL</t>
        </is>
      </c>
      <c r="H41" t="inlineStr">
        <is>
          <t>OG</t>
        </is>
      </c>
      <c r="I41">
        <f>VLOOKUP(H41,[1]尺寸簡表!$C$3:$D$1263,2,0)</f>
        <v/>
      </c>
      <c r="J41" t="n">
        <v>7200</v>
      </c>
      <c r="K41" t="inlineStr">
        <is>
          <t>◎ 重量：225g。15D Ballistic Airlight®表布，(SUPER) DRYTEC 3L（耐水壓20,000mm+，透氣度50,000g/㎡）、「K-MONO CUT™」一體式剪裁。
◎ 布料更具彈性， 胸前單口袋改為兩側的雙口袋，不含PFAS。</t>
        </is>
      </c>
    </row>
    <row r="42">
      <c r="A42" t="inlineStr"/>
      <c r="B42" t="inlineStr"/>
      <c r="C42" t="inlineStr">
        <is>
          <t>ALLWEATHER</t>
        </is>
      </c>
      <c r="D42">
        <f>U42</f>
        <v/>
      </c>
      <c r="E42" t="n">
        <v>1128783</v>
      </c>
      <c r="F42" t="inlineStr">
        <is>
          <t>TORRENT FLIER JACKET WOMEN'S</t>
        </is>
      </c>
      <c r="G42" t="inlineStr">
        <is>
          <t>BK      CPK      LGY      YL</t>
        </is>
      </c>
      <c r="H42" t="inlineStr">
        <is>
          <t>CPK</t>
        </is>
      </c>
      <c r="I42">
        <f>VLOOKUP(H42,[1]尺寸簡表!$C$3:$D$1263,2,0)</f>
        <v/>
      </c>
      <c r="J42" t="n">
        <v>7200</v>
      </c>
      <c r="K42" t="inlineStr">
        <is>
          <t>◎ 重量：203g。15D Ballistic Airlight®表布，(SUPER) DRYTEC 3L（耐水壓20,000mm+，透氣度50,000g/㎡）、「K-MONO CUT™」一體式剪裁。
◎ 布料具彈性， 胸前雙口袋，不含PFAS。</t>
        </is>
      </c>
    </row>
    <row r="43">
      <c r="A43" t="inlineStr"/>
      <c r="B43" t="inlineStr"/>
      <c r="C43" t="inlineStr">
        <is>
          <t>ALLWEATHER</t>
        </is>
      </c>
      <c r="D43">
        <f>U43</f>
        <v/>
      </c>
      <c r="E43" t="n">
        <v>1128667</v>
      </c>
      <c r="F43" t="inlineStr">
        <is>
          <t>TREKKING RAIN PONCHO</t>
        </is>
      </c>
      <c r="G43" t="inlineStr">
        <is>
          <t>FRGN      LTN      ORBL      WT</t>
        </is>
      </c>
      <c r="I43">
        <f>VLOOKUP(H43,[1]尺寸簡表!$C$3:$D$1263,2,0)</f>
        <v/>
      </c>
      <c r="J43" t="n">
        <v>2900</v>
      </c>
      <c r="K43" t="inlineStr">
        <is>
          <t>◎ 重量：295g、收納尺寸：9×9×14cm。
◎ 40D尼龍表布，HYDROPRO®2L（耐水壓5,000mm）。</t>
        </is>
      </c>
    </row>
    <row r="44">
      <c r="A44" t="inlineStr"/>
      <c r="B44" t="inlineStr"/>
      <c r="C44" t="inlineStr">
        <is>
          <t>ALLWEATHER</t>
        </is>
      </c>
      <c r="D44">
        <f>U44</f>
        <v/>
      </c>
      <c r="E44" t="n">
        <v>1128743</v>
      </c>
      <c r="F44" t="inlineStr">
        <is>
          <t>VERSALITE JACKET MEN'S</t>
        </is>
      </c>
      <c r="G44" t="inlineStr">
        <is>
          <t>BL      LGY      YL</t>
        </is>
      </c>
      <c r="H44" t="inlineStr">
        <is>
          <t>BL</t>
        </is>
      </c>
      <c r="I44">
        <f>VLOOKUP(H44,[1]尺寸簡表!$C$3:$D$1263,2,0)</f>
        <v/>
      </c>
      <c r="J44" t="n">
        <v>6700</v>
      </c>
      <c r="K44" t="inlineStr">
        <is>
          <t>◎ 重量：141g。
◎ 7D Ballistic Airlight®表布，(SUPER) DRYTEC 3L（耐水壓20,000mm+，透氣度50,000g/㎡）、「K-MONO CUT™」一體式剪裁。</t>
        </is>
      </c>
    </row>
    <row r="45">
      <c r="A45" t="inlineStr"/>
      <c r="B45" t="inlineStr"/>
      <c r="C45" t="inlineStr">
        <is>
          <t>ALLWEATHER</t>
        </is>
      </c>
      <c r="D45">
        <f>U45</f>
        <v/>
      </c>
      <c r="E45" t="n">
        <v>1128744</v>
      </c>
      <c r="F45" t="inlineStr">
        <is>
          <t>VERSALITE JACKET WOMEN'S</t>
        </is>
      </c>
      <c r="G45" t="inlineStr">
        <is>
          <t>BL      LGN</t>
        </is>
      </c>
      <c r="I45">
        <f>VLOOKUP(H45,[1]尺寸簡表!$C$3:$D$1263,2,0)</f>
        <v/>
      </c>
      <c r="J45" t="n">
        <v>6700</v>
      </c>
      <c r="K45" t="inlineStr">
        <is>
          <t>◎ 重量：128g。
◎ 7D Ballistic Airlight®表布，(SUPER) DRYTEC 3L（耐水壓20,000mm+，透氣度50,000g/㎡）、「K-MONO CUT™」一體式剪裁。</t>
        </is>
      </c>
    </row>
    <row r="46">
      <c r="A46" t="inlineStr"/>
      <c r="B46" t="inlineStr"/>
      <c r="C46" t="inlineStr">
        <is>
          <t>ALPINE CLOTHING</t>
        </is>
      </c>
      <c r="D46">
        <f>U46</f>
        <v/>
      </c>
      <c r="E46" t="n">
        <v>1102572</v>
      </c>
      <c r="F46" t="inlineStr">
        <is>
          <t>DROITES PARKA MEN'S</t>
        </is>
      </c>
      <c r="G46" t="inlineStr">
        <is>
          <t>BL      DGY      RD</t>
        </is>
      </c>
      <c r="H46" t="inlineStr">
        <is>
          <t>DGY</t>
        </is>
      </c>
      <c r="I46">
        <f>VLOOKUP(H46,[1]尺寸簡表!$C$3:$D$1263,2,0)</f>
        <v/>
      </c>
      <c r="J46" t="n">
        <v>12660</v>
      </c>
      <c r="K46" t="inlineStr">
        <is>
          <t>◎ 表布：40D Ballistic® 尼龍，GORE-TEX®2L（耐水壓20,000mm+），內裡填充Thinsulate™。
◎ 防水拉鍊，腋下有拉鍊，立體剪裁帽兜可收納於領，無雪裙。</t>
        </is>
      </c>
    </row>
    <row r="47">
      <c r="A47" t="inlineStr">
        <is>
          <t>促銷款</t>
        </is>
      </c>
      <c r="B47" t="inlineStr">
        <is>
          <t>活動款</t>
        </is>
      </c>
      <c r="C47" t="inlineStr">
        <is>
          <t>ALPINE CLOTHING</t>
        </is>
      </c>
      <c r="D47">
        <f>U47</f>
        <v/>
      </c>
      <c r="E47" t="n">
        <v>1102599</v>
      </c>
      <c r="F47" t="inlineStr">
        <is>
          <t>FALL LINE 3IN1 DOWN PARKA MEN'S</t>
        </is>
      </c>
      <c r="G47" t="inlineStr">
        <is>
          <t>DBN      DGY      NV</t>
        </is>
      </c>
      <c r="H47" t="inlineStr">
        <is>
          <t>DBN</t>
        </is>
      </c>
      <c r="I47">
        <f>VLOOKUP(H47,[1]尺寸簡表!$C$3:$D$1263,2,0)</f>
        <v/>
      </c>
      <c r="J47" t="n">
        <v>11000</v>
      </c>
      <c r="K47" t="inlineStr">
        <is>
          <t>◎ 重量：744g。外套表布：50D 尼龍、(SUPER) DRYTEC 3L（耐水壓20,000mm+），內件表布：20D抗撕裂尼龍布（撥水加工）800FP高品質鵝絨 。
◎ 超輕量二件式防水羽絨外套，不含PFAS。</t>
        </is>
      </c>
    </row>
    <row r="48">
      <c r="A48" t="inlineStr">
        <is>
          <t>促銷款</t>
        </is>
      </c>
      <c r="B48" t="inlineStr">
        <is>
          <t>活動款</t>
        </is>
      </c>
      <c r="C48" t="inlineStr">
        <is>
          <t>ALPINE CLOTHING</t>
        </is>
      </c>
      <c r="D48">
        <f>U48</f>
        <v/>
      </c>
      <c r="E48" t="n">
        <v>1102600</v>
      </c>
      <c r="F48" t="inlineStr">
        <is>
          <t>FALL LINE 3IN1 DOWN PARKA WOMEN'S</t>
        </is>
      </c>
      <c r="G48" t="inlineStr">
        <is>
          <t>DBN      GY      LGY</t>
        </is>
      </c>
      <c r="H48" t="inlineStr">
        <is>
          <t>LGY</t>
        </is>
      </c>
      <c r="I48">
        <f>VLOOKUP(H48,[1]尺寸簡表!$C$3:$D$1263,2,0)</f>
        <v/>
      </c>
      <c r="J48" t="n">
        <v>10800</v>
      </c>
      <c r="K48" t="inlineStr">
        <is>
          <t>◎ 重量：670g。外套表布：50D 尼龍、(SUPER) DRYTEC 3L（耐水壓20,000mm+），內件表布：20D抗撕裂尼龍布（撥水加工）800FP高品質鵝絨 。
◎ 超輕量二件式防水羽絨外套，不含PFAS。</t>
        </is>
      </c>
    </row>
    <row r="49">
      <c r="A49" t="inlineStr"/>
      <c r="B49" t="inlineStr"/>
      <c r="C49" t="inlineStr">
        <is>
          <t>ALPINE CLOTHING</t>
        </is>
      </c>
      <c r="D49">
        <f>U49</f>
        <v/>
      </c>
      <c r="E49" t="n">
        <v>1102601</v>
      </c>
      <c r="F49" t="inlineStr">
        <is>
          <t>FALL LINE 3IN1 PARKA MEN'S</t>
        </is>
      </c>
      <c r="G49" t="inlineStr">
        <is>
          <t>BGN      GY      RD</t>
        </is>
      </c>
      <c r="H49" t="inlineStr">
        <is>
          <t>GY</t>
        </is>
      </c>
      <c r="I49">
        <f>VLOOKUP(H49,[1]尺寸簡表!$C$3:$D$1263,2,0)</f>
        <v/>
      </c>
      <c r="J49" t="n">
        <v>10180</v>
      </c>
      <c r="K49" t="inlineStr">
        <is>
          <t>◎ 重量：685g。外套表布：50D 尼龍、(SUPER) DRYTEC 3L（耐水壓20,000mm+），內件表布：20D抗撕裂尼龍布EXCELOFT®專利中空纖維 。
◎ 超輕量二件式防水化纖外套，不含PFAS。</t>
        </is>
      </c>
    </row>
    <row r="50">
      <c r="A50" t="inlineStr"/>
      <c r="B50" t="inlineStr"/>
      <c r="C50" t="inlineStr">
        <is>
          <t>ALPINE CLOTHING</t>
        </is>
      </c>
      <c r="D50">
        <f>U50</f>
        <v/>
      </c>
      <c r="E50" t="n">
        <v>1102602</v>
      </c>
      <c r="F50" t="inlineStr">
        <is>
          <t>FALL LINE 3IN1 PARKA WOMEN'S</t>
        </is>
      </c>
      <c r="G50" t="inlineStr">
        <is>
          <t>NV      RD      TQ</t>
        </is>
      </c>
      <c r="H50" t="inlineStr">
        <is>
          <t>RD</t>
        </is>
      </c>
      <c r="I50">
        <f>VLOOKUP(H50,[1]尺寸簡表!$C$3:$D$1263,2,0)</f>
        <v/>
      </c>
      <c r="J50" t="n">
        <v>9860</v>
      </c>
      <c r="K50" t="inlineStr">
        <is>
          <t>◎ 外套表布：50D 尼龍、(SUPER) DRYTEC 3L（耐水壓20,000mm+），內件表布：20D抗撕裂尼龍布EXCELOFT®專利中空纖維 。
◎ 超輕量二件式防水化纖外套，不含PFAS。</t>
        </is>
      </c>
    </row>
    <row r="51">
      <c r="A51" t="inlineStr"/>
      <c r="B51" t="inlineStr"/>
      <c r="C51" t="inlineStr">
        <is>
          <t>ALPINE CLOTHING</t>
        </is>
      </c>
      <c r="D51">
        <f>U51</f>
        <v/>
      </c>
      <c r="E51" t="n">
        <v>1102579</v>
      </c>
      <c r="F51" t="inlineStr">
        <is>
          <t>PUMORI PARKA WOMEN'S</t>
        </is>
      </c>
      <c r="G51" t="inlineStr">
        <is>
          <t>LGY      TQ      YL</t>
        </is>
      </c>
      <c r="H51" t="inlineStr">
        <is>
          <t>YL</t>
        </is>
      </c>
      <c r="I51">
        <f>VLOOKUP(H51,[1]尺寸簡表!$C$3:$D$1263,2,0)</f>
        <v/>
      </c>
      <c r="J51" t="n">
        <v>10080</v>
      </c>
      <c r="K51" t="inlineStr">
        <is>
          <t>◎ 重量：439g。表布：40D 尼龍、(SUPER) DRYTEC 3L（耐水壓20,000mm+，透氣度50,000g/㎡）。
◎ 專為女性開發，輕量柔軟、彈性佳。臉部接觸皮膚處零件可拆除清洗。</t>
        </is>
      </c>
    </row>
    <row r="52">
      <c r="A52" t="inlineStr">
        <is>
          <t>促銷款</t>
        </is>
      </c>
      <c r="B52" t="inlineStr">
        <is>
          <t>活動款</t>
        </is>
      </c>
      <c r="C52" t="inlineStr">
        <is>
          <t>BASE LAYER</t>
        </is>
      </c>
      <c r="D52">
        <f>U52</f>
        <v/>
      </c>
      <c r="E52" t="n">
        <v>1107583</v>
      </c>
      <c r="F52" t="inlineStr">
        <is>
          <t>SUPER MERINO WOOL EXPEDITION HIGH NECK SHIRT MEN'S</t>
        </is>
      </c>
      <c r="G52" t="inlineStr">
        <is>
          <t>BK      GY</t>
        </is>
      </c>
      <c r="H52" t="inlineStr">
        <is>
          <t>GY</t>
        </is>
      </c>
      <c r="I52">
        <f>VLOOKUP(H52,[1]尺寸簡表!$C$3:$D$1263,2,0)</f>
        <v/>
      </c>
      <c r="J52" t="n">
        <v>3460</v>
      </c>
      <c r="K52" t="inlineStr">
        <is>
          <t>◎ 材質：美麗諾羊毛79%+聚酯纖維18%+尼龍2%+PU1%。
◎ 天然素材具有優異的調節體溫、排汗抗臭機能。
◎ 厚手編織適合冬季登山、雪地運動及極地遠征穿著。
◎ 袖口專利螺紋立體剪裁，服貼腕部，增加活動的舒適性。</t>
        </is>
      </c>
    </row>
    <row r="53">
      <c r="A53" t="inlineStr">
        <is>
          <t>促銷款</t>
        </is>
      </c>
      <c r="B53" t="inlineStr">
        <is>
          <t>活動款</t>
        </is>
      </c>
      <c r="C53" t="inlineStr">
        <is>
          <t>BASE LAYER</t>
        </is>
      </c>
      <c r="D53">
        <f>U53</f>
        <v/>
      </c>
      <c r="E53" t="n">
        <v>1107584</v>
      </c>
      <c r="F53" t="inlineStr">
        <is>
          <t>SUPER MERINO WOOL EXPEDITION HIGH NECK SHIRT WOMEN'S</t>
        </is>
      </c>
      <c r="G53" t="inlineStr">
        <is>
          <t>BK      WRD</t>
        </is>
      </c>
      <c r="H53" t="inlineStr">
        <is>
          <t>WRD</t>
        </is>
      </c>
      <c r="I53">
        <f>VLOOKUP(H53,[1]尺寸簡表!$C$3:$D$1263,2,0)</f>
        <v/>
      </c>
      <c r="J53" t="n">
        <v>3380</v>
      </c>
      <c r="K53" t="inlineStr">
        <is>
          <t>◎ 材質：美麗諾羊毛79%+聚酯纖維18%+尼龍2%+PU1%。
◎ 天然素材具有優異的調節體溫、排汗抗臭機能。
◎ 厚手編織適合冬季登山、雪地運動及極地遠征穿著。
◎ 袖口專利螺紋立體剪裁，服貼腕部，增加活動的舒適性。</t>
        </is>
      </c>
    </row>
    <row r="54">
      <c r="A54" t="inlineStr"/>
      <c r="B54" t="inlineStr"/>
      <c r="C54" t="inlineStr">
        <is>
          <t>BASE LAYER</t>
        </is>
      </c>
      <c r="D54">
        <f>U54</f>
        <v/>
      </c>
      <c r="E54" t="n">
        <v>1107832</v>
      </c>
      <c r="F54" t="inlineStr">
        <is>
          <t>SUPER MERINO WOOL EXPEDITION PLUS ROUND NECK SHIRT MEN'S</t>
        </is>
      </c>
      <c r="G54" t="inlineStr">
        <is>
          <t>BK</t>
        </is>
      </c>
      <c r="H54" t="inlineStr">
        <is>
          <t>BK</t>
        </is>
      </c>
      <c r="I54">
        <f>VLOOKUP(H54,[1]尺寸簡表!$C$3:$D$1263,2,0)</f>
        <v/>
      </c>
      <c r="J54" t="n">
        <v>4340</v>
      </c>
      <c r="K54" t="inlineStr">
        <is>
          <t>◎ 材質：美麗諾羊毛92%+尼龍7%+聚氨酯1%。
◎ 比例羊毛內衣，具出色的保溫性，彈性佳，適用於雪地運動、冬季登山、極地遠征。</t>
        </is>
      </c>
    </row>
    <row r="55">
      <c r="A55" t="inlineStr"/>
      <c r="B55" t="inlineStr"/>
      <c r="C55" t="inlineStr">
        <is>
          <t>BASE LAYER</t>
        </is>
      </c>
      <c r="D55">
        <f>U55</f>
        <v/>
      </c>
      <c r="E55" t="n">
        <v>1107833</v>
      </c>
      <c r="F55" t="inlineStr">
        <is>
          <t>SUPER MERINO WOOL EXPEDITION PLUS ROUND NECK SHIRT WOMEN'S</t>
        </is>
      </c>
      <c r="G55" t="inlineStr">
        <is>
          <t>BK      DGY</t>
        </is>
      </c>
      <c r="H55" t="inlineStr">
        <is>
          <t>BK</t>
        </is>
      </c>
      <c r="I55">
        <f>VLOOKUP(H55,[1]尺寸簡表!$C$3:$D$1263,2,0)</f>
        <v/>
      </c>
      <c r="J55" t="n">
        <v>4130</v>
      </c>
      <c r="K55" t="inlineStr">
        <is>
          <t>◎ 材質：美麗諾羊毛92%+尼龍7%+聚氨酯1%。
◎ 比例羊毛內衣，具出色的保溫性，彈性佳，適用於雪地運動、冬季登山、極地遠征。</t>
        </is>
      </c>
    </row>
    <row r="56">
      <c r="A56" t="inlineStr"/>
      <c r="B56" t="inlineStr"/>
      <c r="C56" t="inlineStr">
        <is>
          <t>BASE LAYER</t>
        </is>
      </c>
      <c r="D56">
        <f>U56</f>
        <v/>
      </c>
      <c r="E56" t="n">
        <v>1107834</v>
      </c>
      <c r="F56" t="inlineStr">
        <is>
          <t>SUPER MERINO WOOL EXPEDITION PLUS TIGHTS MEN'S</t>
        </is>
      </c>
      <c r="G56" t="inlineStr">
        <is>
          <t>BK</t>
        </is>
      </c>
      <c r="H56" t="inlineStr">
        <is>
          <t>BK</t>
        </is>
      </c>
      <c r="I56">
        <f>VLOOKUP(H56,[1]尺寸簡表!$C$3:$D$1263,2,0)</f>
        <v/>
      </c>
      <c r="J56" t="n">
        <v>3680</v>
      </c>
      <c r="K56" t="inlineStr">
        <is>
          <t>◎ 材質：美麗諾羊毛92%+尼龍7%+聚氨酯1%。
◎ 比例羊毛內衣，具出色的保溫性，彈性佳，適用於雪地運動、冬季登山、極地遠征。</t>
        </is>
      </c>
    </row>
    <row r="57">
      <c r="A57" t="inlineStr"/>
      <c r="B57" t="inlineStr"/>
      <c r="C57" t="inlineStr">
        <is>
          <t>BASE LAYER</t>
        </is>
      </c>
      <c r="D57">
        <f>U57</f>
        <v/>
      </c>
      <c r="E57" t="n">
        <v>1107835</v>
      </c>
      <c r="F57" t="inlineStr">
        <is>
          <t>SUPER MERINO WOOL EXPEDITION PLUS TIGHTS WOMEN'S</t>
        </is>
      </c>
      <c r="G57" t="inlineStr">
        <is>
          <t>BK</t>
        </is>
      </c>
      <c r="I57">
        <f>VLOOKUP(H57,[1]尺寸簡表!$C$3:$D$1263,2,0)</f>
        <v/>
      </c>
      <c r="J57" t="n">
        <v>3400</v>
      </c>
      <c r="K57" t="inlineStr">
        <is>
          <t>◎ 材質：美麗諾羊毛92%+尼龍7%+聚氨酯1%。
◎ 比例羊毛內衣，具出色的保溫性，彈性佳，適用於雪地運動、冬季登山、極地遠征。</t>
        </is>
      </c>
    </row>
    <row r="58">
      <c r="A58" t="inlineStr">
        <is>
          <t>促銷款</t>
        </is>
      </c>
      <c r="B58" t="inlineStr">
        <is>
          <t>活動款</t>
        </is>
      </c>
      <c r="C58" t="inlineStr">
        <is>
          <t>BASE LAYER</t>
        </is>
      </c>
      <c r="D58">
        <f>U58</f>
        <v/>
      </c>
      <c r="E58" t="n">
        <v>1107581</v>
      </c>
      <c r="F58" t="inlineStr">
        <is>
          <t>SUPER MERINO WOOL EXPEDITION ROUND NECK SHIRT MEN'S</t>
        </is>
      </c>
      <c r="G58" t="inlineStr">
        <is>
          <t>BK      GY      NV</t>
        </is>
      </c>
      <c r="H58" t="inlineStr">
        <is>
          <t>NV</t>
        </is>
      </c>
      <c r="I58">
        <f>VLOOKUP(H58,[1]尺寸簡表!$C$3:$D$1263,2,0)</f>
        <v/>
      </c>
      <c r="J58" t="n">
        <v>2980</v>
      </c>
      <c r="K58" t="inlineStr">
        <is>
          <t>◎ 美麗諾羊毛79%+聚酯纖維18%+尼龍2%+聚氨酯1%。
◎ 天然素材具有優異的調節體溫、排汗抗臭機能。
◎ 厚手編織適合冬季登山、雪地運動及極地遠征穿著。
◎ 袖口專利螺紋立體剪裁，服貼腕部，增加活動的舒適性。</t>
        </is>
      </c>
    </row>
    <row r="59">
      <c r="A59" t="inlineStr">
        <is>
          <t>促銷款</t>
        </is>
      </c>
      <c r="B59" t="inlineStr">
        <is>
          <t>活動款</t>
        </is>
      </c>
      <c r="C59" t="inlineStr">
        <is>
          <t>BASE LAYER</t>
        </is>
      </c>
      <c r="D59">
        <f>U59</f>
        <v/>
      </c>
      <c r="E59" t="n">
        <v>1107170</v>
      </c>
      <c r="F59" t="inlineStr">
        <is>
          <t>SUPER MERINO WOOL EXPEDITION ROUND NECK SHIRT WOMEN'S</t>
        </is>
      </c>
      <c r="G59" t="inlineStr">
        <is>
          <t>BK      GY      WRD</t>
        </is>
      </c>
      <c r="H59" t="inlineStr">
        <is>
          <t>WRD</t>
        </is>
      </c>
      <c r="I59">
        <f>VLOOKUP(H59,[1]尺寸簡表!$C$3:$D$1263,2,0)</f>
        <v/>
      </c>
      <c r="J59" t="n">
        <v>2980</v>
      </c>
      <c r="K59" t="inlineStr">
        <is>
          <t>◎ 美麗諾羊毛79%+聚酯纖維18%+尼龍2%+聚氨酯1%。
◎ 天然素材具有優異的調節體溫、排汗抗臭機能。
◎ 厚手編織適合冬季登山、雪地運動及極地遠征穿著。
◎ 袖口專利螺紋立體剪裁，服貼腕部，增加活動的舒適性。</t>
        </is>
      </c>
    </row>
    <row r="60">
      <c r="A60" t="inlineStr"/>
      <c r="B60" t="inlineStr"/>
      <c r="C60" t="inlineStr">
        <is>
          <t>BASE LAYER</t>
        </is>
      </c>
      <c r="D60">
        <f>U60</f>
        <v/>
      </c>
      <c r="E60" t="n">
        <v>1107585</v>
      </c>
      <c r="F60" t="inlineStr">
        <is>
          <t>SUPER MERINO WOOL EXPEDITION TIGHTS MEN'S</t>
        </is>
      </c>
      <c r="G60" t="inlineStr">
        <is>
          <t>BK</t>
        </is>
      </c>
      <c r="H60" t="inlineStr">
        <is>
          <t>BK</t>
        </is>
      </c>
      <c r="I60">
        <f>VLOOKUP(H60,[1]尺寸簡表!$C$3:$D$1263,2,0)</f>
        <v/>
      </c>
      <c r="J60" t="n">
        <v>2840</v>
      </c>
      <c r="K60" t="inlineStr">
        <is>
          <t>◎ 材質：美麗諾羊毛79%+聚酯纖維18%+尼龍2%+聚氨酯1%
◎ 厚手內搭褲，具出色的保溫性，適用於雪地運動、冬季登山、極地遠征。</t>
        </is>
      </c>
    </row>
    <row r="61">
      <c r="A61" t="inlineStr"/>
      <c r="B61" t="inlineStr"/>
      <c r="C61" t="inlineStr">
        <is>
          <t>BASE LAYER</t>
        </is>
      </c>
      <c r="D61">
        <f>U61</f>
        <v/>
      </c>
      <c r="E61" t="n">
        <v>1107586</v>
      </c>
      <c r="F61" t="inlineStr">
        <is>
          <t>SUPER MERINO WOOL EXPEDITION TIGHTS WOMEN'S</t>
        </is>
      </c>
      <c r="G61" t="inlineStr">
        <is>
          <t>BK</t>
        </is>
      </c>
      <c r="H61" t="inlineStr">
        <is>
          <t>BK</t>
        </is>
      </c>
      <c r="I61">
        <f>VLOOKUP(H61,[1]尺寸簡表!$C$3:$D$1263,2,0)</f>
        <v/>
      </c>
      <c r="J61" t="n">
        <v>2880</v>
      </c>
      <c r="K61" t="inlineStr">
        <is>
          <t>◎ 材質：美麗諾羊毛79%+聚酯纖維18%+尼龍2%+聚氨酯1%。
◎ 厚手內搭褲，具出色的保溫性，適用於雪地運動、冬季登山、極地遠征。</t>
        </is>
      </c>
    </row>
    <row r="62">
      <c r="A62" t="inlineStr"/>
      <c r="B62" t="inlineStr"/>
      <c r="C62" t="inlineStr">
        <is>
          <t>BASE LAYER</t>
        </is>
      </c>
      <c r="D62">
        <f>U62</f>
        <v/>
      </c>
      <c r="E62" t="n">
        <v>1107673</v>
      </c>
      <c r="F62" t="inlineStr">
        <is>
          <t>SUPER MERINO WOOL LIGHT WEIGHT ACTIVE SHORTS WOMEN'S</t>
        </is>
      </c>
      <c r="G62" t="inlineStr">
        <is>
          <t>BK      LBL</t>
        </is>
      </c>
      <c r="H62" t="inlineStr">
        <is>
          <t>BK      LBL</t>
        </is>
      </c>
      <c r="I62">
        <f>VLOOKUP(H62,[1]尺寸簡表!$C$3:$D$1263,2,0)</f>
        <v/>
      </c>
      <c r="J62" t="n">
        <v>1000</v>
      </c>
      <c r="K62" t="inlineStr">
        <is>
          <t>◎ 材質：羊毛83%＋聚酯纖維13%＋尼龍3%＋聚氨酯1%。輕薄、保暖、舒適、防臭。</t>
        </is>
      </c>
    </row>
    <row r="63">
      <c r="A63" t="inlineStr"/>
      <c r="B63" t="inlineStr"/>
      <c r="C63" t="inlineStr">
        <is>
          <t>BASE LAYER</t>
        </is>
      </c>
      <c r="D63">
        <f>U63</f>
        <v/>
      </c>
      <c r="E63" t="n">
        <v>1107824</v>
      </c>
      <c r="F63" t="inlineStr">
        <is>
          <t>SUPER MERINO WOOL LIGHT WEIGHT BRIEFS MEN'S</t>
        </is>
      </c>
      <c r="G63" t="inlineStr">
        <is>
          <t>BK</t>
        </is>
      </c>
      <c r="H63" t="inlineStr">
        <is>
          <t>BK</t>
        </is>
      </c>
      <c r="I63">
        <f>VLOOKUP(H63,[1]尺寸簡表!$C$3:$D$1263,2,0)</f>
        <v/>
      </c>
      <c r="J63" t="n">
        <v>1300</v>
      </c>
      <c r="K63" t="inlineStr">
        <is>
          <t>◎ 美麗諾羊毛83%+聚酯纖維13%+尼龍3%+聚氨酯1%。
◎ 比例羊毛內褲，具出色的保溫性，彈性佳 。</t>
        </is>
      </c>
    </row>
    <row r="64">
      <c r="A64" t="inlineStr"/>
      <c r="B64" t="inlineStr"/>
      <c r="C64" t="inlineStr">
        <is>
          <t>BASE LAYER</t>
        </is>
      </c>
      <c r="D64">
        <f>U64</f>
        <v/>
      </c>
      <c r="E64" t="n">
        <v>1107672</v>
      </c>
      <c r="F64" t="inlineStr">
        <is>
          <t>SUPER MERINO WOOL LIGHT WEIGHT SHORTS WOMEN'S</t>
        </is>
      </c>
      <c r="G64" t="inlineStr">
        <is>
          <t>BK      LBL</t>
        </is>
      </c>
      <c r="H64" t="inlineStr">
        <is>
          <t>BK      LBL</t>
        </is>
      </c>
      <c r="I64">
        <f>VLOOKUP(H64,[1]尺寸簡表!$C$3:$D$1263,2,0)</f>
        <v/>
      </c>
      <c r="J64" t="n">
        <v>1220</v>
      </c>
      <c r="K64" t="inlineStr">
        <is>
          <t>◎ 薄手，羊毛83%＋聚酯纖維13%＋尼龍3%＋聚氨酯1%，調節體溫、排汗抗臭。</t>
        </is>
      </c>
    </row>
    <row r="65">
      <c r="A65" t="inlineStr"/>
      <c r="B65" t="inlineStr"/>
      <c r="C65" t="inlineStr">
        <is>
          <t>BASE LAYER</t>
        </is>
      </c>
      <c r="D65">
        <f>U65</f>
        <v/>
      </c>
      <c r="E65" t="n">
        <v>1107807</v>
      </c>
      <c r="F65" t="inlineStr">
        <is>
          <t>SUPER MERINO WOOL LIGHT WEIGHT SOFT BRA</t>
        </is>
      </c>
      <c r="G65" t="inlineStr">
        <is>
          <t>BK      LBL</t>
        </is>
      </c>
      <c r="H65" t="inlineStr">
        <is>
          <t>BK      LBL</t>
        </is>
      </c>
      <c r="I65">
        <f>VLOOKUP(H65,[1]尺寸簡表!$C$3:$D$1263,2,0)</f>
        <v/>
      </c>
      <c r="J65" t="n">
        <v>1620</v>
      </c>
      <c r="K65" t="inlineStr">
        <is>
          <t>◎ 薄手，83%美麗諾羊毛+13%聚酯纖維+3%尼龍+1%聚氨酯，調節體溫、透氣襯墊、排汗抗臭。</t>
        </is>
      </c>
    </row>
    <row r="66">
      <c r="A66" t="inlineStr"/>
      <c r="B66" t="inlineStr"/>
      <c r="C66" t="inlineStr">
        <is>
          <t>BASE LAYER</t>
        </is>
      </c>
      <c r="D66">
        <f>U66</f>
        <v/>
      </c>
      <c r="E66" t="n">
        <v>1107823</v>
      </c>
      <c r="F66" t="inlineStr">
        <is>
          <t>SUPER MERINO WOOL LIGHT WEIGHT TRUNKS MEN'S</t>
        </is>
      </c>
      <c r="G66" t="inlineStr">
        <is>
          <t>BK      NV</t>
        </is>
      </c>
      <c r="H66" t="inlineStr">
        <is>
          <t>BK</t>
        </is>
      </c>
      <c r="I66">
        <f>VLOOKUP(H66,[1]尺寸簡表!$C$3:$D$1263,2,0)</f>
        <v/>
      </c>
      <c r="J66" t="n">
        <v>1370</v>
      </c>
      <c r="K66" t="inlineStr">
        <is>
          <t>◎ 美麗諾羊毛83%+聚酯纖維13%+尼龍3%+聚氨酯1%。
◎ 比例羊毛內褲，具出色的保溫性，彈性佳 。</t>
        </is>
      </c>
    </row>
    <row r="67">
      <c r="A67" t="inlineStr">
        <is>
          <t>促銷款</t>
        </is>
      </c>
      <c r="B67" t="inlineStr">
        <is>
          <t>活動款</t>
        </is>
      </c>
      <c r="C67" t="inlineStr">
        <is>
          <t>BASE LAYER</t>
        </is>
      </c>
      <c r="D67">
        <f>U67</f>
        <v/>
      </c>
      <c r="E67" t="n">
        <v>1107656</v>
      </c>
      <c r="F67" t="inlineStr">
        <is>
          <t>SUPER MERINO WOOL MIDDLE WEIGHT HIGH NECK SHIRT MEN'S</t>
        </is>
      </c>
      <c r="G67" t="inlineStr">
        <is>
          <t>BK      DKNV</t>
        </is>
      </c>
      <c r="H67" t="inlineStr">
        <is>
          <t>DKNV</t>
        </is>
      </c>
      <c r="I67">
        <f>VLOOKUP(H67,[1]尺寸簡表!$C$3:$D$1263,2,0)</f>
        <v/>
      </c>
      <c r="J67" t="n">
        <v>3000</v>
      </c>
      <c r="K67" t="inlineStr">
        <is>
          <t>◎ 材質：美麗諾羊毛85%、聚酯纖維15%。
◎ 天然素材具有優異的調節體溫、排汗抗臭機能。
◎ 中厚手編織適合登山、雪地運動及日常生活穿著。</t>
        </is>
      </c>
    </row>
    <row r="68">
      <c r="A68" t="inlineStr">
        <is>
          <t>促銷款</t>
        </is>
      </c>
      <c r="B68" t="inlineStr">
        <is>
          <t>活動款</t>
        </is>
      </c>
      <c r="C68" t="inlineStr">
        <is>
          <t>BASE LAYER</t>
        </is>
      </c>
      <c r="D68">
        <f>U68</f>
        <v/>
      </c>
      <c r="E68" t="n">
        <v>1107657</v>
      </c>
      <c r="F68" t="inlineStr">
        <is>
          <t>SUPER MERINO WOOL MIDDLE WEIGHT HIGH NECK SHIRT WOMEN'S</t>
        </is>
      </c>
      <c r="G68" t="inlineStr">
        <is>
          <t>BK</t>
        </is>
      </c>
      <c r="H68" t="inlineStr">
        <is>
          <t>BK</t>
        </is>
      </c>
      <c r="I68">
        <f>VLOOKUP(H68,[1]尺寸簡表!$C$3:$D$1263,2,0)</f>
        <v/>
      </c>
      <c r="J68" t="n">
        <v>2800</v>
      </c>
      <c r="K68" t="inlineStr">
        <is>
          <t>◎ 材質：美麗諾羊毛85%、聚酯纖維15%。
◎ 天然素材具有優異的調節體溫、排汗抗臭機能。
◎ 中厚手編織適合登山、雪地運動及日常生活穿著。</t>
        </is>
      </c>
    </row>
    <row r="69">
      <c r="A69" t="inlineStr">
        <is>
          <t>促銷款</t>
        </is>
      </c>
      <c r="B69" t="inlineStr">
        <is>
          <t>活動款</t>
        </is>
      </c>
      <c r="C69" t="inlineStr">
        <is>
          <t>BASE LAYER</t>
        </is>
      </c>
      <c r="D69">
        <f>U69</f>
        <v/>
      </c>
      <c r="E69" t="n">
        <v>1107654</v>
      </c>
      <c r="F69" t="inlineStr">
        <is>
          <t>SUPER MERINO WOOL MIDDLE WEIGHT ROUND NECK SHIRT MEN'S</t>
        </is>
      </c>
      <c r="G69" t="inlineStr">
        <is>
          <t>BK      DKNV      LTSV</t>
        </is>
      </c>
      <c r="H69" t="inlineStr">
        <is>
          <t>DKNV</t>
        </is>
      </c>
      <c r="I69">
        <f>VLOOKUP(H69,[1]尺寸簡表!$C$3:$D$1263,2,0)</f>
        <v/>
      </c>
      <c r="J69" t="n">
        <v>2600</v>
      </c>
      <c r="K69" t="inlineStr">
        <is>
          <t>◎ 材質：美麗諾羊毛85%、聚酯纖維15%。
◎ 天然素材具有優異的調節體溫、排汗抗臭機能。
◎ 中厚手編織適合登山、雪地運動及日常生活穿著。</t>
        </is>
      </c>
    </row>
    <row r="70">
      <c r="A70" t="inlineStr">
        <is>
          <t>促銷款</t>
        </is>
      </c>
      <c r="B70" t="inlineStr">
        <is>
          <t>活動款</t>
        </is>
      </c>
      <c r="C70" t="inlineStr">
        <is>
          <t>BASE LAYER</t>
        </is>
      </c>
      <c r="D70">
        <f>U70</f>
        <v/>
      </c>
      <c r="E70" t="n">
        <v>1107655</v>
      </c>
      <c r="F70" t="inlineStr">
        <is>
          <t>SUPER MERINO WOOL MIDDLE WEIGHT ROUND NECK SHIRT WOMEN'S</t>
        </is>
      </c>
      <c r="G70" t="inlineStr">
        <is>
          <t>BK      IV</t>
        </is>
      </c>
      <c r="H70" t="inlineStr">
        <is>
          <t>BK</t>
        </is>
      </c>
      <c r="I70">
        <f>VLOOKUP(H70,[1]尺寸簡表!$C$3:$D$1263,2,0)</f>
        <v/>
      </c>
      <c r="J70" t="n">
        <v>2480</v>
      </c>
      <c r="K70" t="inlineStr">
        <is>
          <t>◎ 材質：美麗諾羊毛85%、聚酯纖維15%。
◎ 天然素材具有優異的調節體溫、排汗抗臭機能。
◎ 中厚手編織適合登山、雪地運動及日常生活穿著。</t>
        </is>
      </c>
    </row>
    <row r="71">
      <c r="A71" t="inlineStr"/>
      <c r="B71" t="inlineStr"/>
      <c r="C71" t="inlineStr">
        <is>
          <t>BASE LAYER</t>
        </is>
      </c>
      <c r="D71">
        <f>U71</f>
        <v/>
      </c>
      <c r="E71" t="n">
        <v>1107659</v>
      </c>
      <c r="F71" t="inlineStr">
        <is>
          <t>SUPER MERINO WOOL MIDDLE WEIGHT TIGHTS MEN'S</t>
        </is>
      </c>
      <c r="G71" t="inlineStr">
        <is>
          <t>BK      DKNV</t>
        </is>
      </c>
      <c r="H71" t="inlineStr">
        <is>
          <t>DKNV</t>
        </is>
      </c>
      <c r="I71">
        <f>VLOOKUP(H71,[1]尺寸簡表!$C$3:$D$1263,2,0)</f>
        <v/>
      </c>
      <c r="J71" t="n">
        <v>2780</v>
      </c>
      <c r="K71" t="inlineStr">
        <is>
          <t>◎ 材質：美麗諾羊毛85%、聚酯纖維15%。
◎ 中厚手內搭褲，具出色的保溫性和伸縮性，適用於各種環境。</t>
        </is>
      </c>
    </row>
    <row r="72">
      <c r="A72" t="inlineStr"/>
      <c r="B72" t="inlineStr"/>
      <c r="C72" t="inlineStr">
        <is>
          <t>BASE LAYER</t>
        </is>
      </c>
      <c r="D72">
        <f>U72</f>
        <v/>
      </c>
      <c r="E72" t="n">
        <v>1107660</v>
      </c>
      <c r="F72" t="inlineStr">
        <is>
          <t>SUPER MERINO WOOL MIDDLE WEIGHT TIGHTS WOMEN'S</t>
        </is>
      </c>
      <c r="G72" t="inlineStr">
        <is>
          <t>BK</t>
        </is>
      </c>
      <c r="H72" t="inlineStr">
        <is>
          <t>BK</t>
        </is>
      </c>
      <c r="I72">
        <f>VLOOKUP(H72,[1]尺寸簡表!$C$3:$D$1263,2,0)</f>
        <v/>
      </c>
      <c r="J72" t="n">
        <v>2480</v>
      </c>
      <c r="K72" t="inlineStr">
        <is>
          <t>◎ 材質：美麗諾羊毛85%、聚酯纖維15%。
◎ 中厚手內搭褲，具出色的保溫性和伸縮性，適用於各種環境。</t>
        </is>
      </c>
    </row>
    <row r="73">
      <c r="A73" t="inlineStr"/>
      <c r="B73" t="inlineStr"/>
      <c r="C73" t="inlineStr">
        <is>
          <t>BASE LAYER</t>
        </is>
      </c>
      <c r="D73">
        <f>U73</f>
        <v/>
      </c>
      <c r="E73" t="n">
        <v>1107177</v>
      </c>
      <c r="F73" t="inlineStr">
        <is>
          <t>WICKRON LIGHT TRUNKS</t>
        </is>
      </c>
      <c r="G73" t="inlineStr">
        <is>
          <t>BASM      IND      NV</t>
        </is>
      </c>
      <c r="H73" t="inlineStr">
        <is>
          <t>IND</t>
        </is>
      </c>
      <c r="I73">
        <f>VLOOKUP(H73,[1]尺寸簡表!$C$3:$D$1263,2,0)</f>
        <v/>
      </c>
      <c r="J73" t="n">
        <v>830</v>
      </c>
      <c r="K73" t="inlineStr">
        <is>
          <t>◎ wickron® SUPER WICKDRY FIBER：光觸媒粒子分解異味、抗污、抑菌。抗起毛球、UV CUT。</t>
        </is>
      </c>
    </row>
    <row r="74">
      <c r="A74" t="inlineStr"/>
      <c r="B74" t="inlineStr"/>
      <c r="C74" t="inlineStr">
        <is>
          <t>BASE LAYER</t>
        </is>
      </c>
      <c r="D74">
        <f>U74</f>
        <v/>
      </c>
      <c r="E74" t="n">
        <v>1107764</v>
      </c>
      <c r="F74" t="inlineStr">
        <is>
          <t>ZEO-LINE COOL MESH BRIEFS MEN'S</t>
        </is>
      </c>
      <c r="G74" t="inlineStr">
        <is>
          <t>BK</t>
        </is>
      </c>
      <c r="H74" t="inlineStr">
        <is>
          <t>BK</t>
        </is>
      </c>
      <c r="I74">
        <f>VLOOKUP(H74,[1]尺寸簡表!$C$3:$D$1263,2,0)</f>
        <v/>
      </c>
      <c r="J74" t="n">
        <v>760</v>
      </c>
      <c r="K74" t="inlineStr">
        <is>
          <t>◎ 極薄手，ZEO-LINE® COOL MESH：速乾透氣、抗菌防臭。</t>
        </is>
      </c>
    </row>
    <row r="75">
      <c r="A75" t="inlineStr">
        <is>
          <t>27SS</t>
        </is>
      </c>
      <c r="B75" t="inlineStr">
        <is>
          <t>27SS</t>
        </is>
      </c>
      <c r="C75" t="inlineStr">
        <is>
          <t>BASE LAYER</t>
        </is>
      </c>
      <c r="D75">
        <f>U75</f>
        <v/>
      </c>
      <c r="E75" t="n">
        <v>1107868</v>
      </c>
      <c r="F75" t="inlineStr">
        <is>
          <t>ZEO-LINE COOL MESH SHORTS WOMEN'S</t>
        </is>
      </c>
      <c r="G75" t="inlineStr">
        <is>
          <t>BK      CPK</t>
        </is>
      </c>
      <c r="H75" t="inlineStr">
        <is>
          <t>CPK</t>
        </is>
      </c>
      <c r="I75">
        <f>VLOOKUP(H75,[1]尺寸簡表!$C$3:$D$1263,2,0)</f>
        <v/>
      </c>
      <c r="J75" t="n">
        <v>610</v>
      </c>
      <c r="K75" t="inlineStr">
        <is>
          <t>◎ 極薄手，ZEO-LINE® COOL MESH：速乾透氣、抗菌防臭。</t>
        </is>
      </c>
    </row>
    <row r="76">
      <c r="A76" t="inlineStr"/>
      <c r="B76" t="inlineStr"/>
      <c r="C76" t="inlineStr">
        <is>
          <t>BASE LAYER</t>
        </is>
      </c>
      <c r="D76">
        <f>U76</f>
        <v/>
      </c>
      <c r="E76" t="n">
        <v>1107763</v>
      </c>
      <c r="F76" t="inlineStr">
        <is>
          <t>ZEO-LINE COOL MESH TRUNKS MEN'S</t>
        </is>
      </c>
      <c r="G76" t="inlineStr">
        <is>
          <t>BK      LGY</t>
        </is>
      </c>
      <c r="H76" t="inlineStr">
        <is>
          <t>BK</t>
        </is>
      </c>
      <c r="I76">
        <f>VLOOKUP(H76,[1]尺寸簡表!$C$3:$D$1263,2,0)</f>
        <v/>
      </c>
      <c r="J76" t="n">
        <v>760</v>
      </c>
      <c r="K76" t="inlineStr">
        <is>
          <t>◎ 極薄手，ZEO-LINE® COOL MESH：速乾透氣、抗菌防臭。</t>
        </is>
      </c>
    </row>
    <row r="77">
      <c r="A77" t="inlineStr">
        <is>
          <t>促銷款</t>
        </is>
      </c>
      <c r="B77" t="inlineStr">
        <is>
          <t>活動款</t>
        </is>
      </c>
      <c r="C77" t="inlineStr">
        <is>
          <t>BASE LAYER</t>
        </is>
      </c>
      <c r="D77">
        <f>U77</f>
        <v/>
      </c>
      <c r="E77" t="n">
        <v>1107714</v>
      </c>
      <c r="F77" t="inlineStr">
        <is>
          <t>ZEO-LINE EXPEDITION HIGH NECK SHIRT MEN'S</t>
        </is>
      </c>
      <c r="G77" t="inlineStr">
        <is>
          <t>BK      NV</t>
        </is>
      </c>
      <c r="H77" t="inlineStr">
        <is>
          <t>BK</t>
        </is>
      </c>
      <c r="I77">
        <f>VLOOKUP(H77,[1]尺寸簡表!$C$3:$D$1263,2,0)</f>
        <v/>
      </c>
      <c r="J77" t="n">
        <v>2180</v>
      </c>
      <c r="K77" t="inlineStr">
        <is>
          <t>◎ ZEO-LINE®內衣系列擁有比一般市售商品優異的速乾性，且具有保溫及抗菌的機能。
◎ EXP.厚手材質適用於雪地運動、冬季登山、極地遠征等活動時穿著。
◎ 袖口專利螺紋立體剪裁，服貼腕部，增加活動的舒適性。</t>
        </is>
      </c>
    </row>
    <row r="78">
      <c r="A78" t="inlineStr">
        <is>
          <t>促銷款</t>
        </is>
      </c>
      <c r="B78" t="inlineStr">
        <is>
          <t>活動款</t>
        </is>
      </c>
      <c r="C78" t="inlineStr">
        <is>
          <t>BASE LAYER</t>
        </is>
      </c>
      <c r="D78">
        <f>U78</f>
        <v/>
      </c>
      <c r="E78" t="n">
        <v>1107715</v>
      </c>
      <c r="F78" t="inlineStr">
        <is>
          <t>ZEO-LINE EXPEDITION HIGH NECK SHIRT WOMEN'S</t>
        </is>
      </c>
      <c r="G78" t="inlineStr">
        <is>
          <t>BK</t>
        </is>
      </c>
      <c r="H78" t="inlineStr">
        <is>
          <t>BK</t>
        </is>
      </c>
      <c r="I78">
        <f>VLOOKUP(H78,[1]尺寸簡表!$C$3:$D$1263,2,0)</f>
        <v/>
      </c>
      <c r="J78" t="n">
        <v>2050</v>
      </c>
      <c r="K78" t="inlineStr">
        <is>
          <t>◎ ZEO-LINE®內衣系列擁有比一般市售商品優異的速乾性，且具有保溫及抗菌的機能。
◎ EXP.厚手材質適用於雪地運動、冬季登山、極地遠征等活動時穿著。
◎ 袖口專利螺紋立體剪裁，服貼腕部，增加活動的舒適性。</t>
        </is>
      </c>
    </row>
    <row r="79">
      <c r="A79" t="inlineStr">
        <is>
          <t>促銷款</t>
        </is>
      </c>
      <c r="B79" t="inlineStr">
        <is>
          <t>活動款</t>
        </is>
      </c>
      <c r="C79" t="inlineStr">
        <is>
          <t>BASE LAYER</t>
        </is>
      </c>
      <c r="D79">
        <f>U79</f>
        <v/>
      </c>
      <c r="E79" t="n">
        <v>1107712</v>
      </c>
      <c r="F79" t="inlineStr">
        <is>
          <t>ZEO-LINE EXPEDITION ROUND NECK SHIRT MEN'S</t>
        </is>
      </c>
      <c r="G79" t="inlineStr">
        <is>
          <t>BK      NV</t>
        </is>
      </c>
      <c r="H79" t="inlineStr">
        <is>
          <t>NV</t>
        </is>
      </c>
      <c r="I79">
        <f>VLOOKUP(H79,[1]尺寸簡表!$C$3:$D$1263,2,0)</f>
        <v/>
      </c>
      <c r="J79" t="n">
        <v>2040</v>
      </c>
      <c r="K79" t="inlineStr">
        <is>
          <t>◎ ZEO-LINE®內衣系列擁有比一般市售商品優異的速乾性，且具有保溫及抗菌的機能。
◎ EXP.厚手材質適用於雪地運動、冬季登山、極地遠征等活動時穿著。
◎ 袖口專利螺紋立體剪裁，服貼腕部，增加活動的舒適性。</t>
        </is>
      </c>
    </row>
    <row r="80">
      <c r="A80" t="inlineStr">
        <is>
          <t>促銷款</t>
        </is>
      </c>
      <c r="B80" t="inlineStr">
        <is>
          <t>活動款</t>
        </is>
      </c>
      <c r="C80" t="inlineStr">
        <is>
          <t>BASE LAYER</t>
        </is>
      </c>
      <c r="D80">
        <f>U80</f>
        <v/>
      </c>
      <c r="E80" t="n">
        <v>1107713</v>
      </c>
      <c r="F80" t="inlineStr">
        <is>
          <t>ZEO-LINE EXPEDITION ROUND NECK SHIRT WOMEN'S</t>
        </is>
      </c>
      <c r="G80" t="inlineStr">
        <is>
          <t>BK      BL</t>
        </is>
      </c>
      <c r="H80" t="inlineStr">
        <is>
          <t>BK</t>
        </is>
      </c>
      <c r="I80">
        <f>VLOOKUP(H80,[1]尺寸簡表!$C$3:$D$1263,2,0)</f>
        <v/>
      </c>
      <c r="J80" t="n">
        <v>1960</v>
      </c>
      <c r="K80" t="inlineStr">
        <is>
          <t>◎ ZEO-LINE®內衣系列擁有比一般市售商品優異的速乾性，且具有保溫及抗菌的機能。
◎ EXP.厚手材質適用於雪地運動、冬季登山、極地遠征等活動時穿著。
◎ 袖口專利螺紋立體剪裁，服貼腕部，增加活動的舒適性。</t>
        </is>
      </c>
    </row>
    <row r="81">
      <c r="A81" t="inlineStr"/>
      <c r="B81" t="inlineStr"/>
      <c r="C81" t="inlineStr">
        <is>
          <t>BASE LAYER</t>
        </is>
      </c>
      <c r="D81">
        <f>U81</f>
        <v/>
      </c>
      <c r="E81" t="n">
        <v>1107716</v>
      </c>
      <c r="F81" t="inlineStr">
        <is>
          <t>ZEO-LINE EXPEDITION TIGHTS MEN'S</t>
        </is>
      </c>
      <c r="G81" t="inlineStr">
        <is>
          <t>BK</t>
        </is>
      </c>
      <c r="I81">
        <f>VLOOKUP(H81,[1]尺寸簡表!$C$3:$D$1263,2,0)</f>
        <v/>
      </c>
      <c r="J81" t="n">
        <v>1870</v>
      </c>
      <c r="K81" t="inlineStr">
        <is>
          <t>◎ ZEO-LINE®內衣系列擁有比一般市售商品優異的速乾性，且具有保溫及抗菌的機能。
◎ EXP.厚手內搭褲適用於雪地運動、冬季登山、極地遠征等活動時穿著。</t>
        </is>
      </c>
    </row>
    <row r="82">
      <c r="A82" t="inlineStr"/>
      <c r="B82" t="inlineStr"/>
      <c r="C82" t="inlineStr">
        <is>
          <t>BASE LAYER</t>
        </is>
      </c>
      <c r="D82">
        <f>U82</f>
        <v/>
      </c>
      <c r="E82" t="n">
        <v>1107717</v>
      </c>
      <c r="F82" t="inlineStr">
        <is>
          <t>ZEO-LINE EXPEDITION TIGHTS WOMEN'S</t>
        </is>
      </c>
      <c r="G82" t="inlineStr">
        <is>
          <t>BK</t>
        </is>
      </c>
      <c r="H82" t="inlineStr">
        <is>
          <t>BK</t>
        </is>
      </c>
      <c r="I82">
        <f>VLOOKUP(H82,[1]尺寸簡表!$C$3:$D$1263,2,0)</f>
        <v/>
      </c>
      <c r="J82" t="n">
        <v>1840</v>
      </c>
      <c r="K82" t="inlineStr">
        <is>
          <t>◎ ZEO-LINE®內衣系列擁有比一般市售商品優異的速乾性，且具有保溫及抗菌的機能。
◎ EXP.厚手內搭褲適用於雪地運動、冬季登山、極地遠征等活動時穿著。</t>
        </is>
      </c>
    </row>
    <row r="83">
      <c r="A83" t="inlineStr"/>
      <c r="B83" t="inlineStr"/>
      <c r="C83" t="inlineStr">
        <is>
          <t>BASE LAYER</t>
        </is>
      </c>
      <c r="D83">
        <f>U83</f>
        <v/>
      </c>
      <c r="E83" t="n">
        <v>1107749</v>
      </c>
      <c r="F83" t="inlineStr">
        <is>
          <t>ZEO-LINE LIGHT WEIGHT ACTIVE SHORTS WOMEN'S</t>
        </is>
      </c>
      <c r="G83" t="inlineStr">
        <is>
          <t>BK      LBL      TN</t>
        </is>
      </c>
      <c r="H83" t="inlineStr">
        <is>
          <t>BK</t>
        </is>
      </c>
      <c r="I83">
        <f>VLOOKUP(H83,[1]尺寸簡表!$C$3:$D$1263,2,0)</f>
        <v/>
      </c>
      <c r="J83" t="n">
        <v>760</v>
      </c>
      <c r="K83" t="inlineStr">
        <is>
          <t>◎ 薄手，ZEO-LINE®：速乾透氣、保溫、銀離子抗菌防臭、抗靜電。</t>
        </is>
      </c>
    </row>
    <row r="84">
      <c r="A84" t="inlineStr"/>
      <c r="B84" t="inlineStr"/>
      <c r="C84" t="inlineStr">
        <is>
          <t>BASE LAYER</t>
        </is>
      </c>
      <c r="D84">
        <f>U84</f>
        <v/>
      </c>
      <c r="E84" t="n">
        <v>1107828</v>
      </c>
      <c r="F84" t="inlineStr">
        <is>
          <t>ZEO-LINE LIGHT WEIGHT BRIEFS MEN'S</t>
        </is>
      </c>
      <c r="G84" t="inlineStr">
        <is>
          <t>BK      LGY</t>
        </is>
      </c>
      <c r="H84" t="inlineStr">
        <is>
          <t>LGY</t>
        </is>
      </c>
      <c r="I84">
        <f>VLOOKUP(H84,[1]尺寸簡表!$C$3:$D$1263,2,0)</f>
        <v/>
      </c>
      <c r="J84" t="n">
        <v>800</v>
      </c>
      <c r="K84" t="inlineStr">
        <is>
          <t>◎ 薄手，ZEO-LINE® （100%聚酯纖維）。
◎ 速乾透氣的運動內褲同時具備保溫、抗菌防臭、抗靜電。</t>
        </is>
      </c>
    </row>
    <row r="85">
      <c r="A85" t="inlineStr"/>
      <c r="B85" t="inlineStr"/>
      <c r="C85" t="inlineStr">
        <is>
          <t>BASE LAYER</t>
        </is>
      </c>
      <c r="D85">
        <f>U85</f>
        <v/>
      </c>
      <c r="E85" t="n">
        <v>1107829</v>
      </c>
      <c r="F85" t="inlineStr">
        <is>
          <t>ZEO-LINE LIGHT WEIGHT CLOSE-FIT TRUNKS MEN'S</t>
        </is>
      </c>
      <c r="G85" t="inlineStr">
        <is>
          <t>BK      DGN      GY</t>
        </is>
      </c>
      <c r="H85" t="inlineStr">
        <is>
          <t>GY</t>
        </is>
      </c>
      <c r="I85">
        <f>VLOOKUP(H85,[1]尺寸簡表!$C$3:$D$1263,2,0)</f>
        <v/>
      </c>
      <c r="J85" t="n">
        <v>940</v>
      </c>
      <c r="K85" t="inlineStr">
        <is>
          <t>◎ 薄手，ZEO-LINE® （聚酯纖維97% + 聚氨酯3%）。前開檔。輕量柔軟、快乾防臭。</t>
        </is>
      </c>
    </row>
    <row r="86">
      <c r="A86" t="inlineStr"/>
      <c r="B86" t="inlineStr"/>
      <c r="C86" t="inlineStr">
        <is>
          <t>BASE LAYER</t>
        </is>
      </c>
      <c r="D86">
        <f>U86</f>
        <v/>
      </c>
      <c r="E86" t="n">
        <v>1107827</v>
      </c>
      <c r="F86" t="inlineStr">
        <is>
          <t>ZEO-LINE LIGHT WEIGHT FLYLESS TRUNKS MEN'S</t>
        </is>
      </c>
      <c r="G86" t="inlineStr">
        <is>
          <t>BK      LGY      NV</t>
        </is>
      </c>
      <c r="H86" t="inlineStr">
        <is>
          <t>LGY</t>
        </is>
      </c>
      <c r="I86">
        <f>VLOOKUP(H86,[1]尺寸簡表!$C$3:$D$1263,2,0)</f>
        <v/>
      </c>
      <c r="J86" t="n">
        <v>870</v>
      </c>
      <c r="K86" t="inlineStr">
        <is>
          <t>◎ 薄手，ZEO-LINE® （聚酯纖維100%）。輕量柔軟、快乾防臭。</t>
        </is>
      </c>
    </row>
    <row r="87">
      <c r="A87" t="inlineStr"/>
      <c r="B87" t="inlineStr"/>
      <c r="C87" t="inlineStr">
        <is>
          <t>BASE LAYER</t>
        </is>
      </c>
      <c r="D87">
        <f>U87</f>
        <v/>
      </c>
      <c r="E87" t="n">
        <v>1107747</v>
      </c>
      <c r="F87" t="inlineStr">
        <is>
          <t>ZEO-LINE LIGHT WEIGHT SHORTS WOMEN'S</t>
        </is>
      </c>
      <c r="G87" t="inlineStr">
        <is>
          <t>BK      LBL      TN</t>
        </is>
      </c>
      <c r="H87" t="inlineStr">
        <is>
          <t>TN</t>
        </is>
      </c>
      <c r="I87">
        <f>VLOOKUP(H87,[1]尺寸簡表!$C$3:$D$1263,2,0)</f>
        <v/>
      </c>
      <c r="J87" t="n">
        <v>720</v>
      </c>
      <c r="K87" t="inlineStr">
        <is>
          <t>◎ 薄手，ZEO-LINE®：速乾透氣、保溫、銀離子抗菌防臭、抗靜電。</t>
        </is>
      </c>
    </row>
    <row r="88">
      <c r="A88" t="inlineStr"/>
      <c r="B88" t="inlineStr"/>
      <c r="C88" t="inlineStr">
        <is>
          <t>BASE LAYER</t>
        </is>
      </c>
      <c r="D88">
        <f>U88</f>
        <v/>
      </c>
      <c r="E88" t="n">
        <v>1107819</v>
      </c>
      <c r="F88" t="inlineStr">
        <is>
          <t>ZEO-LINE LIGHT WEIGHT SMOOTH ACTIVE SHORTS WOMEN'S</t>
        </is>
      </c>
      <c r="G88" t="inlineStr">
        <is>
          <t>BK      KH      TN</t>
        </is>
      </c>
      <c r="H88" t="inlineStr">
        <is>
          <t>BK</t>
        </is>
      </c>
      <c r="I88">
        <f>VLOOKUP(H88,[1]尺寸簡表!$C$3:$D$1263,2,0)</f>
        <v/>
      </c>
      <c r="J88" t="n">
        <v>900</v>
      </c>
      <c r="K88" t="inlineStr">
        <is>
          <t>◎ 聚酯纖維75%+聚氨酯25%。短褲，採用舒適、耐磨的布料製成。</t>
        </is>
      </c>
    </row>
    <row r="89">
      <c r="A89" t="inlineStr"/>
      <c r="B89" t="inlineStr"/>
      <c r="C89" t="inlineStr">
        <is>
          <t>BASE LAYER</t>
        </is>
      </c>
      <c r="D89">
        <f>U89</f>
        <v/>
      </c>
      <c r="E89" t="n">
        <v>1107818</v>
      </c>
      <c r="F89" t="inlineStr">
        <is>
          <t>ZEO-LINE LIGHT WEIGHT SMOOTH LOW RISE ACTIVE SHORTS WOMEN'S</t>
        </is>
      </c>
      <c r="G89" t="inlineStr">
        <is>
          <t>BK      KH      TN</t>
        </is>
      </c>
      <c r="H89" t="inlineStr">
        <is>
          <t>TN</t>
        </is>
      </c>
      <c r="I89">
        <f>VLOOKUP(H89,[1]尺寸簡表!$C$3:$D$1263,2,0)</f>
        <v/>
      </c>
      <c r="J89" t="n">
        <v>860</v>
      </c>
      <c r="K89" t="inlineStr">
        <is>
          <t>◎ 聚酯纖維75%+聚氨酯25%。短褲，採用舒適、耐磨的布料製成。</t>
        </is>
      </c>
    </row>
    <row r="90">
      <c r="A90" t="inlineStr"/>
      <c r="B90" t="inlineStr"/>
      <c r="C90" t="inlineStr">
        <is>
          <t>BASE LAYER</t>
        </is>
      </c>
      <c r="D90">
        <f>U90</f>
        <v/>
      </c>
      <c r="E90" t="n">
        <v>1107816</v>
      </c>
      <c r="F90" t="inlineStr">
        <is>
          <t>ZEO-LINE LIGHT WEIGHT SMOOTH SOFT BRA</t>
        </is>
      </c>
      <c r="G90" t="inlineStr">
        <is>
          <t>BK      KH      TN</t>
        </is>
      </c>
      <c r="H90" t="inlineStr">
        <is>
          <t>BK</t>
        </is>
      </c>
      <c r="I90">
        <f>VLOOKUP(H90,[1]尺寸簡表!$C$3:$D$1263,2,0)</f>
        <v/>
      </c>
      <c r="J90" t="n">
        <v>1480</v>
      </c>
      <c r="K90" t="inlineStr">
        <is>
          <t>◎ 材質 : 聚酯纖維75%+聚氨酯25%。運動型胸罩，採用舒適、耐磨的布料製成。</t>
        </is>
      </c>
    </row>
    <row r="91">
      <c r="A91" t="inlineStr"/>
      <c r="B91" t="inlineStr"/>
      <c r="C91" t="inlineStr">
        <is>
          <t>BASE LAYER</t>
        </is>
      </c>
      <c r="D91">
        <f>U91</f>
        <v/>
      </c>
      <c r="E91" t="n">
        <v>1107826</v>
      </c>
      <c r="F91" t="inlineStr">
        <is>
          <t>ZEO-LINE LIGHT WEIGHT TRUNKS MEN'S</t>
        </is>
      </c>
      <c r="G91" t="inlineStr">
        <is>
          <t>BK      LGY      NV</t>
        </is>
      </c>
      <c r="H91" t="inlineStr">
        <is>
          <t>LGY</t>
        </is>
      </c>
      <c r="I91">
        <f>VLOOKUP(H91,[1]尺寸簡表!$C$3:$D$1263,2,0)</f>
        <v/>
      </c>
      <c r="J91" t="n">
        <v>870</v>
      </c>
      <c r="K91" t="inlineStr">
        <is>
          <t>◎ 薄手，ZEO-LINE® （聚酯纖維100%）。
◎速乾透氣的運動內褲同時具備保溫、抗菌防臭、抗靜電。</t>
        </is>
      </c>
    </row>
    <row r="92">
      <c r="A92" t="inlineStr">
        <is>
          <t>促銷款</t>
        </is>
      </c>
      <c r="B92" t="inlineStr">
        <is>
          <t>活動款</t>
        </is>
      </c>
      <c r="C92" t="inlineStr">
        <is>
          <t>BASE LAYER</t>
        </is>
      </c>
      <c r="D92">
        <f>U92</f>
        <v/>
      </c>
      <c r="E92" t="n">
        <v>1107706</v>
      </c>
      <c r="F92" t="inlineStr">
        <is>
          <t>ZEO-LINE MIDDLE WEIGHT HIGH NECK SHIRT MEN'S</t>
        </is>
      </c>
      <c r="G92" t="inlineStr">
        <is>
          <t>BK      LGY      NV</t>
        </is>
      </c>
      <c r="H92" t="inlineStr">
        <is>
          <t>BK</t>
        </is>
      </c>
      <c r="I92">
        <f>VLOOKUP(H92,[1]尺寸簡表!$C$3:$D$1263,2,0)</f>
        <v/>
      </c>
      <c r="J92" t="n">
        <v>1850</v>
      </c>
      <c r="K92" t="inlineStr">
        <is>
          <t>◎ ZEO-LINE®內衣系列擁有比一般市售商品優異的速乾性，且具有保溫及抗菌的機能。
◎ M.W.中厚手材質適用於雪地運動、登山、冰攀等活動時穿著。
◎ 袖口專利螺紋立體剪裁，服貼腕部，增加活動的舒適性。</t>
        </is>
      </c>
    </row>
    <row r="93">
      <c r="A93" t="inlineStr">
        <is>
          <t>促銷款</t>
        </is>
      </c>
      <c r="B93" t="inlineStr">
        <is>
          <t>活動款</t>
        </is>
      </c>
      <c r="C93" t="inlineStr">
        <is>
          <t>BASE LAYER</t>
        </is>
      </c>
      <c r="D93">
        <f>U93</f>
        <v/>
      </c>
      <c r="E93" t="n">
        <v>1107707</v>
      </c>
      <c r="F93" t="inlineStr">
        <is>
          <t>ZEO-LINE MIDDLE WEIGHT HIGH NECK SHIRT WOMEN'S</t>
        </is>
      </c>
      <c r="G93" t="inlineStr">
        <is>
          <t>BK</t>
        </is>
      </c>
      <c r="H93" t="inlineStr">
        <is>
          <t>BK</t>
        </is>
      </c>
      <c r="I93">
        <f>VLOOKUP(H93,[1]尺寸簡表!$C$3:$D$1263,2,0)</f>
        <v/>
      </c>
      <c r="J93" t="n">
        <v>1770</v>
      </c>
      <c r="K93" t="inlineStr">
        <is>
          <t>◎ ZEO-LINE®內衣系列擁有比一般市售商品優異的速乾性，且具有保溫及抗菌的機能。
◎ M.W.中厚手材質適用於雪地運動、登山、冰攀等活動時穿著。
◎ 袖口專利螺紋立體剪裁，服貼腕部，增加活動的舒適性。</t>
        </is>
      </c>
    </row>
    <row r="94">
      <c r="A94" t="inlineStr">
        <is>
          <t>促銷款</t>
        </is>
      </c>
      <c r="B94" t="inlineStr">
        <is>
          <t>活動款</t>
        </is>
      </c>
      <c r="C94" t="inlineStr">
        <is>
          <t>BASE LAYER</t>
        </is>
      </c>
      <c r="D94">
        <f>U94</f>
        <v/>
      </c>
      <c r="E94" t="n">
        <v>1107704</v>
      </c>
      <c r="F94" t="inlineStr">
        <is>
          <t>ZEO-LINE MIDDLE WEIGHT ROUND NECK SHIRT MEN'S</t>
        </is>
      </c>
      <c r="G94" t="inlineStr">
        <is>
          <t>BK      DGN      LGY      NV</t>
        </is>
      </c>
      <c r="H94" t="inlineStr">
        <is>
          <t>LGY</t>
        </is>
      </c>
      <c r="I94">
        <f>VLOOKUP(H94,[1]尺寸簡表!$C$3:$D$1263,2,0)</f>
        <v/>
      </c>
      <c r="J94" t="n">
        <v>1590</v>
      </c>
      <c r="K94" t="inlineStr">
        <is>
          <t>◎ ZEO-LINE®內衣系列擁有比一般市售商品優異的速乾性，且具有保溫及抗菌的機能。
◎ M.W.中厚手材質適用於雪地運動、登山、冰攀等活動時穿著。
◎ 袖口專利螺紋立體剪裁，服貼腕部，增加活動的舒適性。</t>
        </is>
      </c>
    </row>
    <row r="95">
      <c r="A95" t="inlineStr">
        <is>
          <t>促銷款</t>
        </is>
      </c>
      <c r="B95" t="inlineStr">
        <is>
          <t>活動款</t>
        </is>
      </c>
      <c r="C95" t="inlineStr">
        <is>
          <t>BASE LAYER</t>
        </is>
      </c>
      <c r="D95">
        <f>U95</f>
        <v/>
      </c>
      <c r="E95" t="n">
        <v>1107705</v>
      </c>
      <c r="F95" t="inlineStr">
        <is>
          <t>ZEO-LINE MIDDLE WEIGHT ROUND NECK SHIRT WOMEN'S</t>
        </is>
      </c>
      <c r="G95" t="inlineStr">
        <is>
          <t>BK      DGN      LV</t>
        </is>
      </c>
      <c r="H95" t="inlineStr">
        <is>
          <t>BK</t>
        </is>
      </c>
      <c r="I95">
        <f>VLOOKUP(H95,[1]尺寸簡表!$C$3:$D$1263,2,0)</f>
        <v/>
      </c>
      <c r="J95" t="n">
        <v>1550</v>
      </c>
      <c r="K95" t="inlineStr">
        <is>
          <t>◎ ZEO-LINE®內衣系列擁有比一般市售商品優異的速乾性，且具有保溫及抗菌的機能。
◎ M.W.中厚手材質適用於雪地運動、登山、冰攀等活動時穿著。
◎ 袖口專利螺紋立體剪裁，服貼腕部，增加活動的舒適性。</t>
        </is>
      </c>
    </row>
    <row r="96">
      <c r="A96" t="inlineStr"/>
      <c r="B96" t="inlineStr"/>
      <c r="C96" t="inlineStr">
        <is>
          <t>BASE LAYER</t>
        </is>
      </c>
      <c r="D96">
        <f>U96</f>
        <v/>
      </c>
      <c r="E96" t="n">
        <v>1107709</v>
      </c>
      <c r="F96" t="inlineStr">
        <is>
          <t>ZEO-LINE MIDDLE WEIGHT TIGHTS MEN'S</t>
        </is>
      </c>
      <c r="G96" t="inlineStr">
        <is>
          <t>BK      DGN      LGY      NV</t>
        </is>
      </c>
      <c r="H96" t="inlineStr">
        <is>
          <t>BK</t>
        </is>
      </c>
      <c r="I96">
        <f>VLOOKUP(H96,[1]尺寸簡表!$C$3:$D$1263,2,0)</f>
        <v/>
      </c>
      <c r="J96" t="n">
        <v>1550</v>
      </c>
      <c r="K96" t="inlineStr">
        <is>
          <t>◎ ZEO-LINE®內衣系列擁有比一般市售商品優異的速乾性，且具有保溫及抗菌的機能。
◎ M.W.中厚手材質適用於雪地運動、登山、冰攀等活動時穿著。</t>
        </is>
      </c>
    </row>
    <row r="97">
      <c r="A97" t="inlineStr"/>
      <c r="B97" t="inlineStr"/>
      <c r="C97" t="inlineStr">
        <is>
          <t>BASE LAYER</t>
        </is>
      </c>
      <c r="D97">
        <f>U97</f>
        <v/>
      </c>
      <c r="E97" t="n">
        <v>1107710</v>
      </c>
      <c r="F97" t="inlineStr">
        <is>
          <t>ZEO-LINE MIDDLE WEIGHT TIGHTS WOMEN'S</t>
        </is>
      </c>
      <c r="G97" t="inlineStr">
        <is>
          <t>BK      DGN      LV</t>
        </is>
      </c>
      <c r="H97" t="inlineStr">
        <is>
          <t>BK</t>
        </is>
      </c>
      <c r="I97">
        <f>VLOOKUP(H97,[1]尺寸簡表!$C$3:$D$1263,2,0)</f>
        <v/>
      </c>
      <c r="J97" t="n">
        <v>1480</v>
      </c>
      <c r="K97" t="inlineStr">
        <is>
          <t>◎ ZEO-LINE®內衣系列擁有比一般市售商品優異的速乾性，且具有保溫及抗菌的機能。
◎ M.W.中厚手材質適用於雪地運動、登山、冰攀等活動時穿著。</t>
        </is>
      </c>
    </row>
    <row r="98">
      <c r="A98" t="inlineStr"/>
      <c r="B98" t="inlineStr"/>
      <c r="C98" t="inlineStr">
        <is>
          <t>CAP &amp; HAT</t>
        </is>
      </c>
      <c r="D98">
        <f>U98</f>
        <v/>
      </c>
      <c r="E98" t="n">
        <v>1118896</v>
      </c>
      <c r="F98" t="inlineStr">
        <is>
          <t>ALPINE INNER CAP</t>
        </is>
      </c>
      <c r="G98" t="inlineStr">
        <is>
          <t>BK      LGY</t>
        </is>
      </c>
      <c r="H98" t="inlineStr">
        <is>
          <t>LGY</t>
        </is>
      </c>
      <c r="I98">
        <f>VLOOKUP(H98,[1]尺寸簡表!$C$3:$D$1263,2,0)</f>
        <v/>
      </c>
      <c r="J98" t="n">
        <v>1010</v>
      </c>
      <c r="K98" t="inlineStr">
        <is>
          <t>◎ 表布：CLIMA BARRIER®（20D聚酯纖維）、內層：聚酯纖維。
◎ 蓋耳的部分有透氣孔可聽見外面聲音，適合在寒冷環境中使用。</t>
        </is>
      </c>
    </row>
    <row r="99">
      <c r="A99" t="inlineStr"/>
      <c r="B99" t="inlineStr"/>
      <c r="C99" t="inlineStr">
        <is>
          <t>CAP &amp; HAT</t>
        </is>
      </c>
      <c r="D99">
        <f>U99</f>
        <v/>
      </c>
      <c r="E99" t="n">
        <v>1118943</v>
      </c>
      <c r="F99" t="inlineStr">
        <is>
          <t>BUGPROOF HAT</t>
        </is>
      </c>
      <c r="G99" t="inlineStr">
        <is>
          <t>NV      TN</t>
        </is>
      </c>
      <c r="H99" t="inlineStr">
        <is>
          <t>TN</t>
        </is>
      </c>
      <c r="I99">
        <f>VLOOKUP(H99,[1]尺寸簡表!$C$3:$D$1263,2,0)</f>
        <v/>
      </c>
      <c r="J99" t="n">
        <v>1730</v>
      </c>
      <c r="K99" t="inlineStr">
        <is>
          <t>◎ 帽簷長度：9.0cm。
◎ 70D消光尼龍（撥水加工）、聚酯纖維網布；網布可收納。</t>
        </is>
      </c>
    </row>
    <row r="100">
      <c r="A100" t="inlineStr"/>
      <c r="B100" t="inlineStr"/>
      <c r="C100" t="inlineStr">
        <is>
          <t>CAP &amp; HAT</t>
        </is>
      </c>
      <c r="D100">
        <f>U100</f>
        <v/>
      </c>
      <c r="E100" t="n">
        <v>1118944</v>
      </c>
      <c r="F100" t="inlineStr">
        <is>
          <t>BUGPROOF NET</t>
        </is>
      </c>
      <c r="G100" t="inlineStr">
        <is>
          <t>BK</t>
        </is>
      </c>
      <c r="H100" t="inlineStr">
        <is>
          <t>BK</t>
        </is>
      </c>
      <c r="J100" t="n">
        <v>720</v>
      </c>
      <c r="K100" t="inlineStr">
        <is>
          <t>◎ 聚酯纖維網布、可附掛的防蚊網罩。</t>
        </is>
      </c>
    </row>
    <row r="101">
      <c r="A101" t="inlineStr"/>
      <c r="B101" t="inlineStr"/>
      <c r="C101" t="inlineStr">
        <is>
          <t>CAP &amp; HAT</t>
        </is>
      </c>
      <c r="D101">
        <f>U101</f>
        <v/>
      </c>
      <c r="E101" t="n">
        <v>1118898</v>
      </c>
      <c r="F101" t="inlineStr">
        <is>
          <t>CABLE KNIT VOLCANO CAP</t>
        </is>
      </c>
      <c r="G101" t="inlineStr">
        <is>
          <t>BL      NV      OG</t>
        </is>
      </c>
      <c r="H101" t="inlineStr">
        <is>
          <t>OG      NV      BL</t>
        </is>
      </c>
      <c r="I101">
        <f>VLOOKUP(H101,[1]尺寸簡表!$C$3:$D$1263,2,0)</f>
        <v/>
      </c>
      <c r="J101" t="n">
        <v>1400</v>
      </c>
      <c r="K101" t="inlineStr">
        <is>
          <t>◎ 材質：壓克力70%+羊毛30%。
◎ 可當脖圍及保暖帽的多功能配件。</t>
        </is>
      </c>
    </row>
    <row r="102">
      <c r="A102" t="inlineStr"/>
      <c r="B102" t="inlineStr"/>
      <c r="C102" t="inlineStr">
        <is>
          <t>CAP &amp; HAT</t>
        </is>
      </c>
      <c r="D102">
        <f>U102</f>
        <v/>
      </c>
      <c r="E102" t="n">
        <v>1118582</v>
      </c>
      <c r="F102" t="inlineStr">
        <is>
          <t>CABLE KNIT WATCH CAP #1</t>
        </is>
      </c>
      <c r="G102" t="inlineStr">
        <is>
          <t>HCH      HGY      RDBR</t>
        </is>
      </c>
      <c r="I102">
        <f>VLOOKUP(H102,[1]尺寸簡表!$C$3:$D$1263,2,0)</f>
        <v/>
      </c>
      <c r="J102" t="n">
        <v>1280</v>
      </c>
      <c r="K102" t="inlineStr">
        <is>
          <t>◎ 表布：羊毛15%+壓克力纖維85%
內裡：聚酯纖維70%+壓克力纖維30%。
◎ 具有優異的保暖性及彈性。</t>
        </is>
      </c>
    </row>
    <row r="103">
      <c r="A103" t="inlineStr"/>
      <c r="B103" t="inlineStr"/>
      <c r="C103" t="inlineStr">
        <is>
          <t>CAP &amp; HAT</t>
        </is>
      </c>
      <c r="D103">
        <f>U103</f>
        <v/>
      </c>
      <c r="E103" t="n">
        <v>1118583</v>
      </c>
      <c r="F103" t="inlineStr">
        <is>
          <t>CABLE KNIT WATCH CAP #2</t>
        </is>
      </c>
      <c r="G103" t="inlineStr">
        <is>
          <t>DGY      DNV      TN</t>
        </is>
      </c>
      <c r="H103" t="inlineStr">
        <is>
          <t>DGY</t>
        </is>
      </c>
      <c r="I103">
        <f>VLOOKUP(H103,[1]尺寸簡表!$C$3:$D$1263,2,0)</f>
        <v/>
      </c>
      <c r="J103" t="n">
        <v>1240</v>
      </c>
      <c r="K103" t="inlineStr">
        <is>
          <t>◎ 表布：羊毛15%+壓克力纖維85%。內裡：聚酯纖維70%+壓克力纖維30%。
◎ 具有優異的保暖性及彈性。</t>
        </is>
      </c>
    </row>
    <row r="104">
      <c r="A104" t="inlineStr"/>
      <c r="B104" t="inlineStr"/>
      <c r="C104" t="inlineStr">
        <is>
          <t>CAP &amp; HAT</t>
        </is>
      </c>
      <c r="D104">
        <f>U104</f>
        <v/>
      </c>
      <c r="E104" t="n">
        <v>1118581</v>
      </c>
      <c r="F104" t="inlineStr">
        <is>
          <t>CABLE KNIT WORK CAP</t>
        </is>
      </c>
      <c r="G104" t="inlineStr">
        <is>
          <t>BL      DBN      DGY</t>
        </is>
      </c>
      <c r="I104">
        <f>VLOOKUP(H104,[1]尺寸簡表!$C$3:$D$1263,2,0)</f>
        <v/>
      </c>
      <c r="J104" t="n">
        <v>1160</v>
      </c>
      <c r="K104" t="inlineStr">
        <is>
          <t>◎ 帽簷長度：5.5cm。
◎ 表層：壓克力85%＋羊毛15%、內層：聚酯纖維70%＋壓克力30%。
◎ 採用麻花編織，使用優異保暖性的優質羊毛混紡紗線。表層與內層一體成形無縫編織，確保極佳的彈性。。</t>
        </is>
      </c>
    </row>
    <row r="105">
      <c r="A105" t="inlineStr"/>
      <c r="B105" t="inlineStr"/>
      <c r="C105" t="inlineStr">
        <is>
          <t>CAP &amp; HAT</t>
        </is>
      </c>
      <c r="D105">
        <f>U105</f>
        <v/>
      </c>
      <c r="E105" t="n">
        <v>1118786</v>
      </c>
      <c r="F105" t="inlineStr">
        <is>
          <t>CAMOUFLAGE WATCH CAP</t>
        </is>
      </c>
      <c r="H105" t="inlineStr">
        <is>
          <t>現場樣品</t>
        </is>
      </c>
      <c r="I105">
        <f>VLOOKUP(H105,[1]尺寸簡表!$C$3:$D$1263,2,0)</f>
        <v/>
      </c>
      <c r="J105" t="n">
        <v>900</v>
      </c>
      <c r="K105" t="inlineStr">
        <is>
          <t>◎ 帽簷長度：7.0cm。
◎ 材質：70D抗撕裂尼龍。
◎ 戶外活動使用的迷彩帽，側網通風剪裁設計，UV CUT素材可遮蔽90%紫外線。</t>
        </is>
      </c>
    </row>
    <row r="106">
      <c r="A106" t="inlineStr"/>
      <c r="B106" t="inlineStr"/>
      <c r="C106" t="inlineStr">
        <is>
          <t>CAP &amp; HAT</t>
        </is>
      </c>
      <c r="D106">
        <f>U106</f>
        <v/>
      </c>
      <c r="E106" t="n">
        <v>1108709</v>
      </c>
      <c r="F106" t="inlineStr">
        <is>
          <t>CAMOUFLAGE WATCH HAT</t>
        </is>
      </c>
      <c r="H106" t="inlineStr">
        <is>
          <t>現場樣品</t>
        </is>
      </c>
      <c r="I106">
        <f>VLOOKUP(H106,[1]尺寸簡表!$C$3:$D$1263,2,0)</f>
        <v/>
      </c>
      <c r="J106" t="n">
        <v>900</v>
      </c>
      <c r="K106" t="inlineStr">
        <is>
          <t>◎ 帽簷長度：7.0cm。
◎ 70D抗撕裂尼龍。戶外活動使用的迷彩帽，側網通風剪裁設計，UV CUT。</t>
        </is>
      </c>
    </row>
    <row r="107">
      <c r="A107" t="inlineStr"/>
      <c r="B107" t="inlineStr"/>
      <c r="C107" t="inlineStr">
        <is>
          <t>CAP &amp; HAT</t>
        </is>
      </c>
      <c r="D107">
        <f>U107</f>
        <v/>
      </c>
      <c r="E107" t="n">
        <v>1119109</v>
      </c>
      <c r="F107" t="inlineStr">
        <is>
          <t>CHAMEECE BERET</t>
        </is>
      </c>
      <c r="G107" t="inlineStr">
        <is>
          <t>DGY1      GY      OG</t>
        </is>
      </c>
      <c r="H107" t="inlineStr">
        <is>
          <t>OG</t>
        </is>
      </c>
      <c r="I107">
        <f>VLOOKUP(H107,[1]尺寸簡表!$C$3:$D$1263,2,0)</f>
        <v/>
      </c>
      <c r="J107" t="n">
        <v>830</v>
      </c>
      <c r="K107" t="inlineStr">
        <is>
          <t>◎ 材質：CHAMEECE™材質是人類毛髮1/10Φ的超細纖維細密編織而成，柔軟親膚、彈性佳，質輕且保暖。</t>
        </is>
      </c>
    </row>
    <row r="108">
      <c r="A108" t="inlineStr"/>
      <c r="B108" t="inlineStr"/>
      <c r="C108" t="inlineStr">
        <is>
          <t>CAP &amp; HAT</t>
        </is>
      </c>
      <c r="D108">
        <f>U108</f>
        <v/>
      </c>
      <c r="E108" t="n">
        <v>1118903</v>
      </c>
      <c r="F108" t="inlineStr">
        <is>
          <t>CHAMEECE HAT</t>
        </is>
      </c>
      <c r="G108" t="inlineStr">
        <is>
          <t>BK25      DGN      GY</t>
        </is>
      </c>
      <c r="H108" t="inlineStr">
        <is>
          <t>DGN</t>
        </is>
      </c>
      <c r="I108">
        <f>VLOOKUP(H108,[1]尺寸簡表!$C$3:$D$1263,2,0)</f>
        <v/>
      </c>
      <c r="J108" t="n">
        <v>1180</v>
      </c>
      <c r="K108" t="inlineStr">
        <is>
          <t>◎ 材質：CHAMEECE™材質是人類毛髮1/10Φ的超細纖維細密編織而成，柔軟親膚、彈性佳，質輕且保暖。</t>
        </is>
      </c>
    </row>
    <row r="109">
      <c r="A109" t="inlineStr">
        <is>
          <t>26FW</t>
        </is>
      </c>
      <c r="B109" t="inlineStr">
        <is>
          <t>26FW</t>
        </is>
      </c>
      <c r="C109" t="inlineStr">
        <is>
          <t>CAP &amp; HAT</t>
        </is>
      </c>
      <c r="D109">
        <f>U109</f>
        <v/>
      </c>
      <c r="E109" t="n">
        <v>1119199</v>
      </c>
      <c r="F109" t="inlineStr">
        <is>
          <t>CLEAR BRIM CAP</t>
        </is>
      </c>
      <c r="G109" t="inlineStr">
        <is>
          <t>BK      TN</t>
        </is>
      </c>
      <c r="H109" t="inlineStr">
        <is>
          <t>TN</t>
        </is>
      </c>
      <c r="I109">
        <f>VLOOKUP(H109,[1]尺寸簡表!$C$3:$D$1263,2,0)</f>
        <v/>
      </c>
      <c r="J109" t="n">
        <v>1110</v>
      </c>
      <c r="K109" t="inlineStr">
        <is>
          <t>◎ 採用透明帽簷設計，可在雨中提供更好的前方視野，提升戶外活動時的安全性。
◎ 帽體：50D 防撕裂尼龍，DRYTEC 3L（透氣度：15,000 g/m²・24hrs）有貼條、帽簷：TPU（不含 PFAS）
◎ 帽簷長度：7cm</t>
        </is>
      </c>
    </row>
    <row r="110">
      <c r="A110" t="inlineStr">
        <is>
          <t>26FW</t>
        </is>
      </c>
      <c r="B110" t="inlineStr">
        <is>
          <t>26FW</t>
        </is>
      </c>
      <c r="C110" t="inlineStr">
        <is>
          <t>CAP &amp; HAT</t>
        </is>
      </c>
      <c r="D110">
        <f>U110</f>
        <v/>
      </c>
      <c r="E110" t="n">
        <v>1119200</v>
      </c>
      <c r="F110" t="inlineStr">
        <is>
          <t>CLEAR BRIM MESH CAP</t>
        </is>
      </c>
      <c r="G110" t="inlineStr">
        <is>
          <t>BK      TN</t>
        </is>
      </c>
      <c r="H110" t="inlineStr">
        <is>
          <t>BK</t>
        </is>
      </c>
      <c r="I110">
        <f>VLOOKUP(H110,[1]尺寸簡表!$C$3:$D$1263,2,0)</f>
        <v/>
      </c>
      <c r="J110" t="n">
        <v>1020</v>
      </c>
      <c r="K110" t="inlineStr">
        <is>
          <t>◎ 採用透明帽簷設計，可在雨中提供更好的前方視野，提升戶外活動時的安全性。
◎ 帽體：聚酯纖維網布、吸汗帶：DRYTEC（透氣度：15,000 g/m²・24hrs）、帽簷：TPU（不含 PFAS）
◎ 帽簷長度：7cm</t>
        </is>
      </c>
    </row>
    <row r="111">
      <c r="A111" t="inlineStr"/>
      <c r="B111" t="inlineStr"/>
      <c r="C111" t="inlineStr">
        <is>
          <t>CAP &amp; HAT</t>
        </is>
      </c>
      <c r="D111">
        <f>U111</f>
        <v/>
      </c>
      <c r="E111" t="n">
        <v>1118340</v>
      </c>
      <c r="F111" t="inlineStr">
        <is>
          <t>CLIMAAIR VOLCANO CAP</t>
        </is>
      </c>
      <c r="G111" t="inlineStr">
        <is>
          <t>BK      CNBL      GARN      RSMT</t>
        </is>
      </c>
      <c r="H111" t="inlineStr">
        <is>
          <t>RSMT</t>
        </is>
      </c>
      <c r="I111">
        <f>VLOOKUP(H111,[1]尺寸簡表!$C$3:$D$1263,2,0)</f>
        <v/>
      </c>
      <c r="J111" t="n">
        <v>800</v>
      </c>
      <c r="K111" t="inlineStr">
        <is>
          <t>◎ 使用CLIMAAIR®，長刷毛親膚兼具保暖、透氣、輕量等功能。頂部有拉繩可打開當脖圍使用。</t>
        </is>
      </c>
    </row>
    <row r="112">
      <c r="A112" t="inlineStr"/>
      <c r="B112" t="inlineStr"/>
      <c r="C112" t="inlineStr">
        <is>
          <t>CAP &amp; HAT</t>
        </is>
      </c>
      <c r="D112">
        <f>U112</f>
        <v/>
      </c>
      <c r="E112" t="n">
        <v>1118734</v>
      </c>
      <c r="F112" t="inlineStr">
        <is>
          <t>CLIMAPLUS 200 O.D. CAP</t>
        </is>
      </c>
      <c r="G112" t="inlineStr">
        <is>
          <t>BK      IV      NV</t>
        </is>
      </c>
      <c r="H112" t="inlineStr">
        <is>
          <t>IV</t>
        </is>
      </c>
      <c r="I112">
        <f>VLOOKUP(H112,[1]尺寸簡表!$C$3:$D$1263,2,0)</f>
        <v/>
      </c>
      <c r="J112" t="n">
        <v>940</v>
      </c>
      <c r="K112" t="inlineStr">
        <is>
          <t>◎ 男女適用、帽簷長度：7cm。
◎ 材質：CLIMAPLUS®200。
◎ 具彈性的刷毛帽，讓您在寒冷的季節保持溫暖舒適，適合日常穿戴。</t>
        </is>
      </c>
    </row>
    <row r="113">
      <c r="A113" t="inlineStr"/>
      <c r="B113" t="inlineStr"/>
      <c r="C113" t="inlineStr">
        <is>
          <t>CAP &amp; HAT</t>
        </is>
      </c>
      <c r="D113">
        <f>U113</f>
        <v/>
      </c>
      <c r="E113" t="n">
        <v>1118733</v>
      </c>
      <c r="F113" t="inlineStr">
        <is>
          <t>CLIMAPLUS 200 O.D. EAR WARMER CAP #1</t>
        </is>
      </c>
      <c r="G113" t="inlineStr">
        <is>
          <t>BK      GY      IV      NV</t>
        </is>
      </c>
      <c r="H113" t="inlineStr">
        <is>
          <t>GY</t>
        </is>
      </c>
      <c r="I113">
        <f>VLOOKUP(H113,[1]尺寸簡表!$C$3:$D$1263,2,0)</f>
        <v/>
      </c>
      <c r="J113" t="n">
        <v>1000</v>
      </c>
      <c r="K113" t="inlineStr">
        <is>
          <t>◎ 男女適用、帽簷長度：7cm。
◎ 材質：CLIMAPLUS®200。
◎ 具彈性的刷毛帽，讓您在寒冷的季節保持溫暖舒適，適合日常穿戴。
◎ 保暖耳罩可向外折收並固定，不會影響內部尺寸，以頭部周圍的內部鬆緊帶來調整頭圍大小。</t>
        </is>
      </c>
    </row>
    <row r="114">
      <c r="A114" t="inlineStr"/>
      <c r="B114" t="inlineStr"/>
      <c r="C114" t="inlineStr">
        <is>
          <t>CAP &amp; HAT</t>
        </is>
      </c>
      <c r="D114">
        <f>U114</f>
        <v/>
      </c>
      <c r="E114" t="n">
        <v>1118732</v>
      </c>
      <c r="F114" t="inlineStr">
        <is>
          <t>CLIMAPLUS 200 TRAIL CAP</t>
        </is>
      </c>
      <c r="G114" t="inlineStr">
        <is>
          <t>BK      BL      GY</t>
        </is>
      </c>
      <c r="H114" t="inlineStr">
        <is>
          <t>BK</t>
        </is>
      </c>
      <c r="I114">
        <f>VLOOKUP(H114,[1]尺寸簡表!$C$3:$D$1263,2,0)</f>
        <v/>
      </c>
      <c r="J114" t="n">
        <v>960</v>
      </c>
      <c r="K114" t="inlineStr">
        <is>
          <t>◎ 男女適用、帽簷長度：7cm。
◎ 材質：CLIMAPLUS®200，背面可調整大小。
◎ 具彈性的刷毛帽，讓您在寒冷的季節保持溫暖舒適，適合日常穿戴。</t>
        </is>
      </c>
    </row>
    <row r="115">
      <c r="A115" t="inlineStr"/>
      <c r="B115" t="inlineStr"/>
      <c r="C115" t="inlineStr">
        <is>
          <t>CAP &amp; HAT</t>
        </is>
      </c>
      <c r="D115">
        <f>U115</f>
        <v/>
      </c>
      <c r="E115" t="n">
        <v>1118571</v>
      </c>
      <c r="F115" t="inlineStr">
        <is>
          <t>CLIMAPLUS KNIT EAR WARMER</t>
        </is>
      </c>
      <c r="G115" t="inlineStr">
        <is>
          <t>BK      DBN      IV      NV      OG</t>
        </is>
      </c>
      <c r="H115" t="inlineStr">
        <is>
          <t>OG</t>
        </is>
      </c>
      <c r="J115" t="n">
        <v>770</v>
      </c>
      <c r="K115" t="inlineStr">
        <is>
          <t>◎ 材質：CLIMAPLUS®100，輕盈保暖，可摺疊收納的耳罩。
◎ 收納尺寸：12.5x厚7.5cm。</t>
        </is>
      </c>
    </row>
    <row r="116">
      <c r="A116" t="inlineStr"/>
      <c r="B116" t="inlineStr"/>
      <c r="C116" t="inlineStr">
        <is>
          <t>CAP &amp; HAT</t>
        </is>
      </c>
      <c r="D116">
        <f>U116</f>
        <v/>
      </c>
      <c r="E116" t="n">
        <v>1119112</v>
      </c>
      <c r="F116" t="inlineStr">
        <is>
          <t>CLIMAPLUS KNIT EAR WARMER CAP</t>
        </is>
      </c>
      <c r="G116" t="inlineStr">
        <is>
          <t>BK      IV      NV      RD</t>
        </is>
      </c>
      <c r="H116" t="inlineStr">
        <is>
          <t>RD</t>
        </is>
      </c>
      <c r="I116">
        <f>VLOOKUP(H116,[1]尺寸簡表!$C$3:$D$1263,2,0)</f>
        <v/>
      </c>
      <c r="J116" t="n">
        <v>800</v>
      </c>
      <c r="K116" t="inlineStr">
        <is>
          <t>◎ 材質：CLIMAPLUS®100，輕盈柔軟保暖。</t>
        </is>
      </c>
    </row>
    <row r="117">
      <c r="A117" t="inlineStr"/>
      <c r="B117" t="inlineStr"/>
      <c r="C117" t="inlineStr">
        <is>
          <t>CAP &amp; HAT</t>
        </is>
      </c>
      <c r="D117">
        <f>U117</f>
        <v/>
      </c>
      <c r="E117" t="n">
        <v>1119111</v>
      </c>
      <c r="F117" t="inlineStr">
        <is>
          <t>CLIMAPLUS SHEARING EAR WARMER CAP</t>
        </is>
      </c>
      <c r="G117" t="inlineStr">
        <is>
          <t>BN      IV</t>
        </is>
      </c>
      <c r="H117" t="inlineStr">
        <is>
          <t>IV</t>
        </is>
      </c>
      <c r="I117">
        <f>VLOOKUP(H117,[1]尺寸簡表!$C$3:$D$1263,2,0)</f>
        <v/>
      </c>
      <c r="J117" t="n">
        <v>1110</v>
      </c>
      <c r="K117" t="inlineStr">
        <is>
          <t>◎ 材質：CLIMAPLUS®100，輕盈保暖，附耳罩、不使用時可收折。</t>
        </is>
      </c>
    </row>
    <row r="118">
      <c r="A118" t="inlineStr"/>
      <c r="B118" t="inlineStr"/>
      <c r="C118" t="inlineStr">
        <is>
          <t>CAP &amp; HAT</t>
        </is>
      </c>
      <c r="D118">
        <f>U118</f>
        <v/>
      </c>
      <c r="E118" t="n">
        <v>1118894</v>
      </c>
      <c r="F118" t="inlineStr">
        <is>
          <t>CLIMAPRO O.D. CAP</t>
        </is>
      </c>
      <c r="G118" t="inlineStr">
        <is>
          <t>BK      RD</t>
        </is>
      </c>
      <c r="H118" t="inlineStr">
        <is>
          <t>RD</t>
        </is>
      </c>
      <c r="I118">
        <f>VLOOKUP(H118,[1]尺寸簡表!$C$3:$D$1263,2,0)</f>
        <v/>
      </c>
      <c r="J118" t="n">
        <v>1300</v>
      </c>
      <c r="K118" t="inlineStr">
        <is>
          <t>◎ 表布：CLIMAPRO™200（尼龍50%+聚酯纖維42%+聚氨酯8%），防風速乾；撥水加工、保暖性佳，有彈性。
◎ 內裡：使用CLIMAAIR®，長刷毛親膚、舒適保暖。
◎ 蓋耳的部分有透氣孔可聽見外面聲音，適合在寒冷環境中使用。</t>
        </is>
      </c>
    </row>
    <row r="119">
      <c r="A119" t="inlineStr"/>
      <c r="B119" t="inlineStr"/>
      <c r="C119" t="inlineStr">
        <is>
          <t>CAP &amp; HAT</t>
        </is>
      </c>
      <c r="D119">
        <f>U119</f>
        <v/>
      </c>
      <c r="E119" t="n">
        <v>1118892</v>
      </c>
      <c r="F119" t="inlineStr">
        <is>
          <t>CLIMAPRO WATCH CAP</t>
        </is>
      </c>
      <c r="G119" t="inlineStr">
        <is>
          <t>BK      RD</t>
        </is>
      </c>
      <c r="H119" t="inlineStr">
        <is>
          <t>RD</t>
        </is>
      </c>
      <c r="I119">
        <f>VLOOKUP(H119,[1]尺寸簡表!$C$3:$D$1263,2,0)</f>
        <v/>
      </c>
      <c r="J119" t="n">
        <v>1060</v>
      </c>
      <c r="K119" t="inlineStr">
        <is>
          <t>◎ 表布：CLIMAPRO™200（尼龍50%+聚酯纖維42%+聚氨酯8%），防風速乾；撥水加工、保暖性佳，有彈性。
◎ 內裡：使用CLIMAAIR®，長刷毛親膚、舒適保暖。
◎ 蓋耳的部分有透氣孔可聽見外面聲音，適合在寒冷環境中使用。</t>
        </is>
      </c>
    </row>
    <row r="120">
      <c r="A120" t="inlineStr"/>
      <c r="B120" t="inlineStr"/>
      <c r="C120" t="inlineStr">
        <is>
          <t>CAP &amp; HAT</t>
        </is>
      </c>
      <c r="D120">
        <f>U120</f>
        <v/>
      </c>
      <c r="E120" t="n">
        <v>1118893</v>
      </c>
      <c r="F120" t="inlineStr">
        <is>
          <t>CLIMAPRO WORK CAP</t>
        </is>
      </c>
      <c r="G120" t="inlineStr">
        <is>
          <t>BK      BL</t>
        </is>
      </c>
      <c r="H120" t="inlineStr">
        <is>
          <t>BL</t>
        </is>
      </c>
      <c r="I120">
        <f>VLOOKUP(H120,[1]尺寸簡表!$C$3:$D$1263,2,0)</f>
        <v/>
      </c>
      <c r="J120" t="n">
        <v>1520</v>
      </c>
      <c r="K120" t="inlineStr">
        <is>
          <t>◎ 表布：使用CLIMAPRO™200布料，防風速乾；撥水加工、保暖性佳，有彈性。
◎ 內裡：使用CLIMAAIR®，長刷毛親膚、舒適保暖。
◎ 蓋耳的部分有透氣孔可聽見外面聲音，適合在寒冷環境中使用。</t>
        </is>
      </c>
    </row>
    <row r="121">
      <c r="A121" t="inlineStr">
        <is>
          <t>26FW</t>
        </is>
      </c>
      <c r="B121" t="inlineStr">
        <is>
          <t>26FW</t>
        </is>
      </c>
      <c r="C121" t="inlineStr">
        <is>
          <t>CAP &amp; HAT</t>
        </is>
      </c>
      <c r="D121">
        <f>U121</f>
        <v/>
      </c>
      <c r="E121" t="n">
        <v>1119202</v>
      </c>
      <c r="F121" t="inlineStr">
        <is>
          <t>CLIMATWEED EAR WARMER CAP</t>
        </is>
      </c>
      <c r="G121" t="inlineStr">
        <is>
          <t>DGN      GY      KH</t>
        </is>
      </c>
      <c r="H121" t="inlineStr">
        <is>
          <t>DGN</t>
        </is>
      </c>
      <c r="I121">
        <f>VLOOKUP(H121,[1]尺寸簡表!$C$3:$D$1263,2,0)</f>
        <v/>
      </c>
      <c r="J121" t="n">
        <v>950</v>
      </c>
      <c r="K121" t="inlineStr">
        <is>
          <t>◎ 表布：CLIMATWEED™（聚酯纖維）、內裡：80D 尼龍。
◎ 採用保暖 CLIMATWEED 布料製成的粗花質感蓋耳保暖帽。</t>
        </is>
      </c>
    </row>
    <row r="122">
      <c r="A122" t="inlineStr">
        <is>
          <t>26FW</t>
        </is>
      </c>
      <c r="B122" t="inlineStr">
        <is>
          <t>26FW</t>
        </is>
      </c>
      <c r="C122" t="inlineStr">
        <is>
          <t>CAP &amp; HAT</t>
        </is>
      </c>
      <c r="D122">
        <f>U122</f>
        <v/>
      </c>
      <c r="E122" t="n">
        <v>1119204</v>
      </c>
      <c r="F122" t="inlineStr">
        <is>
          <t>CLIMATWEED HAT</t>
        </is>
      </c>
      <c r="G122" t="inlineStr">
        <is>
          <t>DGN      IV      KH</t>
        </is>
      </c>
      <c r="H122" t="inlineStr">
        <is>
          <t>KH</t>
        </is>
      </c>
      <c r="I122">
        <f>VLOOKUP(H122,[1]尺寸簡表!$C$3:$D$1263,2,0)</f>
        <v/>
      </c>
      <c r="J122" t="n">
        <v>1270</v>
      </c>
      <c r="K122" t="inlineStr">
        <is>
          <t>◎ 表布：CLIMATWEED™（聚酯纖維）、內裡：80D 尼龍。
◎ 採用保暖 CLIMATWEED 布料製成的粗花質感圓盤帽。</t>
        </is>
      </c>
    </row>
    <row r="123">
      <c r="A123" t="inlineStr">
        <is>
          <t>26FW</t>
        </is>
      </c>
      <c r="B123" t="inlineStr">
        <is>
          <t>26FW</t>
        </is>
      </c>
      <c r="C123" t="inlineStr">
        <is>
          <t>CAP &amp; HAT</t>
        </is>
      </c>
      <c r="D123">
        <f>U123</f>
        <v/>
      </c>
      <c r="E123" t="n">
        <v>1119203</v>
      </c>
      <c r="F123" t="inlineStr">
        <is>
          <t>CLIMATWEED O.D. EAR WARMER CAP</t>
        </is>
      </c>
      <c r="G123" t="inlineStr">
        <is>
          <t>IV      KH      RD</t>
        </is>
      </c>
      <c r="H123" t="inlineStr">
        <is>
          <t>RD</t>
        </is>
      </c>
      <c r="I123">
        <f>VLOOKUP(H123,[1]尺寸簡表!$C$3:$D$1263,2,0)</f>
        <v/>
      </c>
      <c r="J123" t="n">
        <v>1080</v>
      </c>
      <c r="K123" t="inlineStr">
        <is>
          <t>◎ 表布：CLIMATWEED™（聚酯纖維）、內裡：80D 尼龍。
◎ 採用保暖 CLIMATWEED 布料製成的粗花質感蓋耳遮陽帽。</t>
        </is>
      </c>
    </row>
    <row r="124">
      <c r="A124" t="inlineStr"/>
      <c r="B124" t="inlineStr"/>
      <c r="C124" t="inlineStr">
        <is>
          <t>CAP &amp; HAT</t>
        </is>
      </c>
      <c r="D124">
        <f>U124</f>
        <v/>
      </c>
      <c r="E124" t="n">
        <v>1118822</v>
      </c>
      <c r="F124" t="inlineStr">
        <is>
          <t>COMPACT EAR WARMER</t>
        </is>
      </c>
      <c r="G124" t="inlineStr">
        <is>
          <t>BK      GY      LGY      LYL      NV      OG1</t>
        </is>
      </c>
      <c r="H124" t="inlineStr">
        <is>
          <t>BK</t>
        </is>
      </c>
      <c r="I124">
        <f>VLOOKUP(H124,[1]尺寸簡表!$C$3:$D$1263,2,0)</f>
        <v/>
      </c>
      <c r="J124" t="n">
        <v>1180</v>
      </c>
      <c r="K124" t="inlineStr">
        <is>
          <t>◎ 收納尺寸：12x13x3cm、重量：31g。
◎ 主體：CLIMAAIR®，長刷毛親膚兼具保暖、透氣、輕量等功能。頭帶和耳罩部分：採用CHAMEECE™製成。
◎ 耳罩利用框架的彈簧特性，只需將其從耳朵上取下即可輕鬆收納。</t>
        </is>
      </c>
    </row>
    <row r="125">
      <c r="A125" t="inlineStr">
        <is>
          <t>26FW</t>
        </is>
      </c>
      <c r="B125" t="inlineStr">
        <is>
          <t>26FW</t>
        </is>
      </c>
      <c r="C125" t="inlineStr">
        <is>
          <t>CAP &amp; HAT</t>
        </is>
      </c>
      <c r="D125">
        <f>U125</f>
        <v/>
      </c>
      <c r="E125" t="n">
        <v>1119193</v>
      </c>
      <c r="F125" t="inlineStr">
        <is>
          <t>CORDUROY CAP</t>
        </is>
      </c>
      <c r="G125" t="inlineStr">
        <is>
          <t>IV      NV      YL</t>
        </is>
      </c>
      <c r="H125" t="inlineStr">
        <is>
          <t>YL</t>
        </is>
      </c>
      <c r="I125">
        <f>VLOOKUP(H125,[1]尺寸簡表!$C$3:$D$1263,2,0)</f>
        <v/>
      </c>
      <c r="J125" t="n">
        <v>950</v>
      </c>
      <c r="K125" t="inlineStr">
        <is>
          <t>◎ 採用柔軟保暖的燈芯絨布料，配戴舒適。
◎ 100%聚酯纖維。</t>
        </is>
      </c>
    </row>
    <row r="126">
      <c r="A126" t="inlineStr">
        <is>
          <t>26FW</t>
        </is>
      </c>
      <c r="B126" t="inlineStr">
        <is>
          <t>26FW</t>
        </is>
      </c>
      <c r="C126" t="inlineStr">
        <is>
          <t>CAP &amp; HAT</t>
        </is>
      </c>
      <c r="D126">
        <f>U126</f>
        <v/>
      </c>
      <c r="E126" t="n">
        <v>1119192</v>
      </c>
      <c r="F126" t="inlineStr">
        <is>
          <t>CORDUROY O.D. CAP</t>
        </is>
      </c>
      <c r="G126" t="inlineStr">
        <is>
          <t>KH      NV</t>
        </is>
      </c>
      <c r="H126" t="inlineStr">
        <is>
          <t>KH</t>
        </is>
      </c>
      <c r="I126">
        <f>VLOOKUP(H126,[1]尺寸簡表!$C$3:$D$1263,2,0)</f>
        <v/>
      </c>
      <c r="J126" t="n">
        <v>950</v>
      </c>
      <c r="K126" t="inlineStr">
        <is>
          <t>◎ 採用柔軟保暖的燈芯絨布料，配戴舒適。
◎ 100%棉。</t>
        </is>
      </c>
    </row>
    <row r="127">
      <c r="A127" t="inlineStr"/>
      <c r="B127" t="inlineStr"/>
      <c r="C127" t="inlineStr">
        <is>
          <t>CAP &amp; HAT</t>
        </is>
      </c>
      <c r="D127">
        <f>U127</f>
        <v/>
      </c>
      <c r="E127" t="n">
        <v>2108212</v>
      </c>
      <c r="F127" t="inlineStr">
        <is>
          <t>COTTON CASQUETTE</t>
        </is>
      </c>
      <c r="G127" t="inlineStr">
        <is>
          <t>BK      KH      TN</t>
        </is>
      </c>
      <c r="H127" t="inlineStr">
        <is>
          <t>BK</t>
        </is>
      </c>
      <c r="I127">
        <f>VLOOKUP(H127,[1]尺寸簡表!$C$3:$D$1263,2,0)</f>
        <v/>
      </c>
      <c r="J127" t="n">
        <v>1120</v>
      </c>
      <c r="K127" t="inlineStr">
        <is>
          <t>◎ 100%棉、UV CUT。</t>
        </is>
      </c>
    </row>
    <row r="128">
      <c r="A128" t="inlineStr"/>
      <c r="B128" t="inlineStr"/>
      <c r="C128" t="inlineStr">
        <is>
          <t>CAP &amp; HAT</t>
        </is>
      </c>
      <c r="D128">
        <f>U128</f>
        <v/>
      </c>
      <c r="E128" t="n">
        <v>1118863</v>
      </c>
      <c r="F128" t="inlineStr">
        <is>
          <t>DRY HAT STRAP</t>
        </is>
      </c>
      <c r="G128" t="inlineStr">
        <is>
          <t>BK      RD      TQ      YL</t>
        </is>
      </c>
      <c r="H128" t="inlineStr">
        <is>
          <t>TQ      RD</t>
        </is>
      </c>
      <c r="J128" t="n">
        <v>350</v>
      </c>
      <c r="K128" t="inlineStr">
        <is>
          <t>◎ 長度：32cm（含掛勾）。
◎ 外層：聚氨酯、內芯：聚酯纖維。使用不親水的材質，適合雨天及容易出汗的戶外活動使用。</t>
        </is>
      </c>
    </row>
    <row r="129">
      <c r="A129" t="inlineStr"/>
      <c r="B129" t="inlineStr"/>
      <c r="C129" t="inlineStr">
        <is>
          <t>CAP &amp; HAT</t>
        </is>
      </c>
      <c r="D129">
        <f>U129</f>
        <v/>
      </c>
      <c r="E129" t="n">
        <v>1118639</v>
      </c>
      <c r="F129" t="inlineStr">
        <is>
          <t>EAR WARMER #1</t>
        </is>
      </c>
      <c r="G129" t="inlineStr">
        <is>
          <t>GY      NV      TN</t>
        </is>
      </c>
      <c r="H129" t="inlineStr">
        <is>
          <t>GY      NV</t>
        </is>
      </c>
      <c r="J129" t="n">
        <v>800</v>
      </c>
      <c r="K129" t="inlineStr">
        <is>
          <t>◎ 收納尺寸：12.5×7.5cm。外層：壓克力85%、羊毛15%，內裡：CHAMEECE™
◎ 便攜式保暖耳罩，可隨頭圍調整長度、可摺收；頭戴、後頸戴兩種配戴方式。</t>
        </is>
      </c>
    </row>
    <row r="130">
      <c r="A130" t="inlineStr"/>
      <c r="B130" t="inlineStr"/>
      <c r="C130" t="inlineStr">
        <is>
          <t>CAP &amp; HAT</t>
        </is>
      </c>
      <c r="D130">
        <f>U130</f>
        <v/>
      </c>
      <c r="E130" t="n">
        <v>1119194</v>
      </c>
      <c r="F130" t="inlineStr">
        <is>
          <t>EXCELOFT FLIGHT CAP</t>
        </is>
      </c>
      <c r="G130" t="inlineStr">
        <is>
          <t>BK      TN</t>
        </is>
      </c>
      <c r="H130" t="inlineStr">
        <is>
          <t>TN</t>
        </is>
      </c>
      <c r="I130">
        <f>VLOOKUP(H130,[1]尺寸簡表!$C$3:$D$1263,2,0)</f>
        <v/>
      </c>
      <c r="J130" t="n">
        <v>1880</v>
      </c>
      <c r="K130" t="inlineStr">
        <is>
          <t>◎ 帽簷長度：4.0cm。
◎ 表布：20D抗撕裂尼龍布（撥水加工）。內裡：CHAMEECE™材質，填充EXCELOFT®專利中空纖維。
◎ 蓋耳的部分打孔，不妨礙聽覺；可放下加強保暖性亦可往上收折成一般的帽型。</t>
        </is>
      </c>
    </row>
    <row r="131">
      <c r="A131" t="inlineStr">
        <is>
          <t>26FW</t>
        </is>
      </c>
      <c r="B131" t="inlineStr">
        <is>
          <t>26FW</t>
        </is>
      </c>
      <c r="C131" t="inlineStr">
        <is>
          <t>CAP &amp; HAT</t>
        </is>
      </c>
      <c r="D131">
        <f>U131</f>
        <v/>
      </c>
      <c r="E131" t="n">
        <v>1119198</v>
      </c>
      <c r="F131" t="inlineStr">
        <is>
          <t>EXCELOFT HUNTING CAP</t>
        </is>
      </c>
      <c r="G131" t="inlineStr">
        <is>
          <t>BN      GY</t>
        </is>
      </c>
      <c r="H131" t="inlineStr">
        <is>
          <t>GY</t>
        </is>
      </c>
      <c r="I131">
        <f>VLOOKUP(H131,[1]尺寸簡表!$C$3:$D$1263,2,0)</f>
        <v/>
      </c>
      <c r="J131" t="n">
        <v>1110</v>
      </c>
      <c r="K131" t="inlineStr">
        <is>
          <t>◎ 帽簷長度：4.8cm。
◎ 20D抗撕裂尼龍，等級撥水加工；內裡為CHAMEECE™。
◎ 填充EXCELOFT®專利中空纖維。</t>
        </is>
      </c>
    </row>
    <row r="132">
      <c r="A132" t="inlineStr"/>
      <c r="B132" t="inlineStr"/>
      <c r="C132" t="inlineStr">
        <is>
          <t>CAP &amp; HAT</t>
        </is>
      </c>
      <c r="D132">
        <f>U132</f>
        <v/>
      </c>
      <c r="E132" t="n">
        <v>1119197</v>
      </c>
      <c r="F132" t="inlineStr">
        <is>
          <t>EXCELOFT QUILT HUNTING CAP</t>
        </is>
      </c>
      <c r="G132" t="inlineStr">
        <is>
          <t>DGN      TN</t>
        </is>
      </c>
      <c r="H132" t="inlineStr">
        <is>
          <t>DGN</t>
        </is>
      </c>
      <c r="I132">
        <f>VLOOKUP(H132,[1]尺寸簡表!$C$3:$D$1263,2,0)</f>
        <v/>
      </c>
      <c r="J132" t="n">
        <v>1270</v>
      </c>
      <c r="K132" t="inlineStr">
        <is>
          <t>◎ 帽簷長度：4.8cm。
◎ 表布：20D尼龍（撥水加工），EXCELOFT®+CHAMEECE™內裡，複合的保暖材質，提供出色的保暖性及耐用性。
◎ 可折疊保暖耳罩。</t>
        </is>
      </c>
    </row>
    <row r="133">
      <c r="A133" t="inlineStr"/>
      <c r="B133" t="inlineStr"/>
      <c r="C133" t="inlineStr">
        <is>
          <t>CAP &amp; HAT</t>
        </is>
      </c>
      <c r="D133">
        <f>U133</f>
        <v/>
      </c>
      <c r="E133" t="n">
        <v>1119195</v>
      </c>
      <c r="F133" t="inlineStr">
        <is>
          <t>EXCELOFT THERMALAND CAP</t>
        </is>
      </c>
      <c r="G133" t="inlineStr">
        <is>
          <t>BK      TN</t>
        </is>
      </c>
      <c r="H133" t="inlineStr">
        <is>
          <t>TN</t>
        </is>
      </c>
      <c r="I133">
        <f>VLOOKUP(H133,[1]尺寸簡表!$C$3:$D$1263,2,0)</f>
        <v/>
      </c>
      <c r="J133" t="n">
        <v>1430</v>
      </c>
      <c r="K133" t="inlineStr">
        <is>
          <t>◎ 表布：20D尼龍（撥水加工），EXCELOFT®+CHAMEECE™內裡，複合的保暖材質，提供出色的保暖性及耐用性。
◎ 保暖耳罩內有暖毛外有網布（不阻絕外部音源），背面可調整大小。</t>
        </is>
      </c>
    </row>
    <row r="134">
      <c r="A134" t="inlineStr"/>
      <c r="B134" t="inlineStr"/>
      <c r="C134" t="inlineStr">
        <is>
          <t>CAP &amp; HAT</t>
        </is>
      </c>
      <c r="D134">
        <f>U134</f>
        <v/>
      </c>
      <c r="E134" t="n">
        <v>1119196</v>
      </c>
      <c r="F134" t="inlineStr">
        <is>
          <t>EXCELOFT WORK CAP</t>
        </is>
      </c>
      <c r="G134" t="inlineStr">
        <is>
          <t>BGN      KH</t>
        </is>
      </c>
      <c r="H134" t="inlineStr">
        <is>
          <t>BGN</t>
        </is>
      </c>
      <c r="I134">
        <f>VLOOKUP(H134,[1]尺寸簡表!$C$3:$D$1263,2,0)</f>
        <v/>
      </c>
      <c r="J134" t="n">
        <v>1110</v>
      </c>
      <c r="K134" t="inlineStr">
        <is>
          <t>◎ 帽簷長度：6.2cm。
◎ 20D抗撕裂尼龍，等級撥水加工；內裡為CHAMEECE™。
◎ 填充EXCELOFT®專利中空纖維，有蓋耳加強保暖。
◎ 帽沿/蓋耳可摺收，輕鬆收納。</t>
        </is>
      </c>
    </row>
    <row r="135">
      <c r="A135" t="inlineStr"/>
      <c r="B135" t="inlineStr"/>
      <c r="C135" t="inlineStr">
        <is>
          <t>CAP &amp; HAT</t>
        </is>
      </c>
      <c r="D135">
        <f>U135</f>
        <v/>
      </c>
      <c r="E135" t="n">
        <v>1118751</v>
      </c>
      <c r="F135" t="inlineStr">
        <is>
          <t>FAUX FUR EAR WARMER</t>
        </is>
      </c>
      <c r="G135" t="inlineStr">
        <is>
          <t>DBN      IV</t>
        </is>
      </c>
      <c r="H135" t="inlineStr">
        <is>
          <t>IV</t>
        </is>
      </c>
      <c r="J135" t="n">
        <v>1050</v>
      </c>
      <c r="K135" t="inlineStr">
        <is>
          <t>◎ 收納尺寸：12.5x厚7.5cm。
◎ 外耳：壓克力紗100%、內耳：壓克力紗89%+聚酯纖維11%，輕盈保暖，可摺疊收納的耳罩。</t>
        </is>
      </c>
    </row>
    <row r="136">
      <c r="A136" t="inlineStr"/>
      <c r="B136" t="inlineStr"/>
      <c r="C136" t="inlineStr">
        <is>
          <t>CAP &amp; HAT</t>
        </is>
      </c>
      <c r="D136">
        <f>U136</f>
        <v/>
      </c>
      <c r="E136" t="n">
        <v>1118834</v>
      </c>
      <c r="F136" t="inlineStr">
        <is>
          <t>HAT CLIP</t>
        </is>
      </c>
      <c r="G136" t="inlineStr">
        <is>
          <t>#10      #11      #4      #5      #6      #7      #8      #9      BK</t>
        </is>
      </c>
      <c r="H136" t="inlineStr">
        <is>
          <t>#5      #9      #11</t>
        </is>
      </c>
      <c r="J136" t="n">
        <v>280</v>
      </c>
      <c r="K136" t="inlineStr">
        <is>
          <t>◎ 尺寸：21cm。
◎ 夾扣式帽繩。藉由兩端的扣夾固定帽子與衣領。</t>
        </is>
      </c>
    </row>
    <row r="137">
      <c r="A137" t="inlineStr"/>
      <c r="B137" t="inlineStr"/>
      <c r="C137" t="inlineStr">
        <is>
          <t>CAP &amp; HAT</t>
        </is>
      </c>
      <c r="D137">
        <f>U137</f>
        <v/>
      </c>
      <c r="E137" t="n">
        <v>1118523</v>
      </c>
      <c r="F137" t="inlineStr">
        <is>
          <t>HAT STRAP</t>
        </is>
      </c>
      <c r="G137" t="inlineStr">
        <is>
          <t>#13      #14      #15      #16      #17      #18      BK      DBN      DKNV      TN</t>
        </is>
      </c>
      <c r="H137" t="inlineStr">
        <is>
          <t>#14      #15</t>
        </is>
      </c>
      <c r="J137" t="n">
        <v>300</v>
      </c>
      <c r="K137" t="inlineStr">
        <is>
          <t>◎ 全長60cm（包括掛鉤）。
◎ 不使用任何金屬零件，安全設計遇負荷自動脫鉤。</t>
        </is>
      </c>
    </row>
    <row r="138">
      <c r="A138" t="inlineStr"/>
      <c r="B138" t="inlineStr"/>
      <c r="C138" t="inlineStr">
        <is>
          <t>CAP &amp; HAT</t>
        </is>
      </c>
      <c r="D138">
        <f>U138</f>
        <v/>
      </c>
      <c r="E138" t="n">
        <v>1118895</v>
      </c>
      <c r="F138" t="inlineStr">
        <is>
          <t>HUSKY CAP</t>
        </is>
      </c>
      <c r="G138" t="inlineStr">
        <is>
          <t>IV      KH      NV</t>
        </is>
      </c>
      <c r="H138" t="inlineStr">
        <is>
          <t>KH      IV      NV</t>
        </is>
      </c>
      <c r="I138">
        <f>VLOOKUP(H138,[1]尺寸簡表!$C$3:$D$1263,2,0)</f>
        <v/>
      </c>
      <c r="J138" t="n">
        <v>1480</v>
      </c>
      <c r="K138" t="inlineStr">
        <is>
          <t>◎ 表布：70D尼龍、內裡：CHAMEECE™材質是人類毛髮1/10Φ的超細纖維、蓋耳：CLIMAAIR®長刷毛，有透氣孔可聽見外面聲音。</t>
        </is>
      </c>
    </row>
    <row r="139">
      <c r="A139" t="inlineStr"/>
      <c r="B139" t="inlineStr"/>
      <c r="C139" t="inlineStr">
        <is>
          <t>CAP &amp; HAT</t>
        </is>
      </c>
      <c r="D139">
        <f>U139</f>
        <v/>
      </c>
      <c r="E139" t="n">
        <v>1118584</v>
      </c>
      <c r="F139" t="inlineStr">
        <is>
          <t>JACQUARD KNIT CAP #1</t>
        </is>
      </c>
      <c r="G139" t="inlineStr">
        <is>
          <t>BGN      IV      NV</t>
        </is>
      </c>
      <c r="H139" t="inlineStr">
        <is>
          <t>BGN      IV</t>
        </is>
      </c>
      <c r="I139">
        <f>VLOOKUP(H139,[1]尺寸簡表!$C$3:$D$1263,2,0)</f>
        <v/>
      </c>
      <c r="J139" t="n">
        <v>1240</v>
      </c>
      <c r="K139" t="inlineStr">
        <is>
          <t>◎ 表布：羊毛15%+壓克力纖維85%。內裡：聚酯纖維70%+壓克力纖維30%。
◎ 具有優異的保暖性及彈性。</t>
        </is>
      </c>
    </row>
    <row r="140">
      <c r="A140" t="inlineStr"/>
      <c r="B140" t="inlineStr"/>
      <c r="C140" t="inlineStr">
        <is>
          <t>CAP &amp; HAT</t>
        </is>
      </c>
      <c r="D140">
        <f>U140</f>
        <v/>
      </c>
      <c r="E140" t="n">
        <v>1119136</v>
      </c>
      <c r="F140" t="inlineStr">
        <is>
          <t>JACQUARD WATCH CAP #3</t>
        </is>
      </c>
      <c r="G140" t="inlineStr">
        <is>
          <t>BGN      DGY      LV      PU</t>
        </is>
      </c>
      <c r="H140" t="inlineStr">
        <is>
          <t>LV</t>
        </is>
      </c>
      <c r="I140">
        <f>VLOOKUP(H140,[1]尺寸簡表!$C$3:$D$1263,2,0)</f>
        <v/>
      </c>
      <c r="J140" t="n">
        <v>800</v>
      </c>
      <c r="K140" t="inlineStr">
        <is>
          <t>◎ 材質：聚酯纖維54%+壓克力纖維20%+尼龍20%+美麗諾羊毛6%。
◎ 輕量無內裡針織帽，搭配自然風格圖樣設計，彈性材質，全天配戴依然貼合舒適，適合日常穿搭。</t>
        </is>
      </c>
    </row>
    <row r="141">
      <c r="A141" t="inlineStr"/>
      <c r="B141" t="inlineStr"/>
      <c r="C141" t="inlineStr">
        <is>
          <t>CAP &amp; HAT</t>
        </is>
      </c>
      <c r="D141">
        <f>U141</f>
        <v/>
      </c>
      <c r="E141" t="n">
        <v>1119103</v>
      </c>
      <c r="F141" t="inlineStr">
        <is>
          <t>JACQUARD WATCH CAP LOGO #1</t>
        </is>
      </c>
      <c r="G141" t="inlineStr">
        <is>
          <t>BGN      RD</t>
        </is>
      </c>
      <c r="H141" t="inlineStr">
        <is>
          <t>RD</t>
        </is>
      </c>
      <c r="I141">
        <f>VLOOKUP(H141,[1]尺寸簡表!$C$3:$D$1263,2,0)</f>
        <v/>
      </c>
      <c r="J141" t="n">
        <v>800</v>
      </c>
      <c r="K141" t="inlineStr">
        <is>
          <t>◎ 材質：聚酯纖維54%+壓克力纖維20%+尼龍20%+美麗諾羊毛6% 。
◎ 輕量無內裡針織帽，彈性設計，全天配戴依然貼合舒適。</t>
        </is>
      </c>
    </row>
    <row r="142">
      <c r="A142" t="inlineStr"/>
      <c r="B142" t="inlineStr"/>
      <c r="C142" t="inlineStr">
        <is>
          <t>CAP &amp; HAT</t>
        </is>
      </c>
      <c r="D142">
        <f>U142</f>
        <v/>
      </c>
      <c r="E142" t="n">
        <v>1119140</v>
      </c>
      <c r="F142" t="inlineStr">
        <is>
          <t>JACQUARD WATCH CAP LOGO #2</t>
        </is>
      </c>
      <c r="G142" t="inlineStr">
        <is>
          <t>LGY      NV</t>
        </is>
      </c>
      <c r="H142" t="inlineStr">
        <is>
          <t>LGY</t>
        </is>
      </c>
      <c r="I142">
        <f>VLOOKUP(H142,[1]尺寸簡表!$C$3:$D$1263,2,0)</f>
        <v/>
      </c>
      <c r="J142" t="n">
        <v>800</v>
      </c>
      <c r="K142" t="inlineStr">
        <is>
          <t>◎ 材質：聚酯纖維54%+壓克力纖維20%+尼龍20%+美麗諾羊毛6%。
◎ 輕量無內裡針織帽，附繩編 montbell 標誌，彈性設計，全天配戴依然貼合舒適，適合日常穿搭。</t>
        </is>
      </c>
    </row>
    <row r="143">
      <c r="A143" t="inlineStr"/>
      <c r="B143" t="inlineStr"/>
      <c r="C143" t="inlineStr">
        <is>
          <t>CAP &amp; HAT</t>
        </is>
      </c>
      <c r="D143">
        <f>U143</f>
        <v/>
      </c>
      <c r="E143" t="n">
        <v>1118901</v>
      </c>
      <c r="F143" t="inlineStr">
        <is>
          <t>KNIT BERET</t>
        </is>
      </c>
      <c r="G143" t="inlineStr">
        <is>
          <t>DGY      GY      OG</t>
        </is>
      </c>
      <c r="H143" t="inlineStr">
        <is>
          <t>GY      DGY      OG</t>
        </is>
      </c>
      <c r="I143">
        <f>VLOOKUP(H143,[1]尺寸簡表!$C$3:$D$1263,2,0)</f>
        <v/>
      </c>
      <c r="J143" t="n">
        <v>800</v>
      </c>
      <c r="K143" t="inlineStr">
        <is>
          <t>◎ 材質：壓克力85%+羊毛15%。
◎ 觸感柔軟的貝蕾帽。</t>
        </is>
      </c>
    </row>
    <row r="144">
      <c r="A144" t="inlineStr"/>
      <c r="B144" t="inlineStr"/>
      <c r="C144" t="inlineStr">
        <is>
          <t>CAP &amp; HAT</t>
        </is>
      </c>
      <c r="D144">
        <f>U144</f>
        <v/>
      </c>
      <c r="E144" t="n">
        <v>1118680</v>
      </c>
      <c r="F144" t="inlineStr">
        <is>
          <t>LIGHT RIB KNIT WATCH CAP #2</t>
        </is>
      </c>
      <c r="G144" t="inlineStr">
        <is>
          <t>BGY      BK      EP      MBN      RDBR      YL</t>
        </is>
      </c>
      <c r="H144" t="inlineStr">
        <is>
          <t>EP      MBN</t>
        </is>
      </c>
      <c r="I144">
        <f>VLOOKUP(H144,[1]尺寸簡表!$C$3:$D$1263,2,0)</f>
        <v/>
      </c>
      <c r="J144" t="n">
        <v>900</v>
      </c>
      <c r="K144" t="inlineStr">
        <is>
          <t>◎ 男女適用。
◎ 表布：羊毛15%+壓克力纖維85%。羊毛混紡的針織保暖帽、具彈性、輕量收納體積小。</t>
        </is>
      </c>
    </row>
    <row r="145">
      <c r="A145" t="inlineStr"/>
      <c r="B145" t="inlineStr"/>
      <c r="C145" t="inlineStr">
        <is>
          <t>CAP &amp; HAT</t>
        </is>
      </c>
      <c r="D145">
        <f>U145</f>
        <v/>
      </c>
      <c r="E145" t="n">
        <v>1119101</v>
      </c>
      <c r="F145" t="inlineStr">
        <is>
          <t>LIGHT WATCH CAP ONE-POINT #1</t>
        </is>
      </c>
      <c r="G145" t="inlineStr">
        <is>
          <t>BL      IV</t>
        </is>
      </c>
      <c r="H145" t="inlineStr">
        <is>
          <t>IV</t>
        </is>
      </c>
      <c r="I145">
        <f>VLOOKUP(H145,[1]尺寸簡表!$C$3:$D$1263,2,0)</f>
        <v/>
      </c>
      <c r="J145" t="n">
        <v>800</v>
      </c>
      <c r="K145" t="inlineStr">
        <is>
          <t>◎ 材質：聚酯纖維54% + 壓克力紗20% + 尼龍20% +美麗諾羊毛6%。
◎ 觸感柔軟，輕盈保暖的針織帽。</t>
        </is>
      </c>
    </row>
    <row r="146">
      <c r="A146" t="inlineStr"/>
      <c r="B146" t="inlineStr"/>
      <c r="C146" t="inlineStr">
        <is>
          <t>CAP &amp; HAT</t>
        </is>
      </c>
      <c r="D146">
        <f>U146</f>
        <v/>
      </c>
      <c r="E146" t="n">
        <v>1119102</v>
      </c>
      <c r="F146" t="inlineStr">
        <is>
          <t>LIGHT WATCH CAP ONE-POINT #2</t>
        </is>
      </c>
      <c r="G146" t="inlineStr">
        <is>
          <t>LGY      YL</t>
        </is>
      </c>
      <c r="H146" t="inlineStr">
        <is>
          <t>YL</t>
        </is>
      </c>
      <c r="I146">
        <f>VLOOKUP(H146,[1]尺寸簡表!$C$3:$D$1263,2,0)</f>
        <v/>
      </c>
      <c r="J146" t="n">
        <v>800</v>
      </c>
      <c r="K146" t="inlineStr">
        <is>
          <t>◎ 材質：聚酯纖維54% + 壓克力紗20% + 尼龍20% +美麗諾羊毛6%。
◎ 觸感柔軟，輕盈保暖的針織帽。</t>
        </is>
      </c>
    </row>
    <row r="147">
      <c r="A147" t="inlineStr"/>
      <c r="B147" t="inlineStr"/>
      <c r="C147" t="inlineStr">
        <is>
          <t>CAP &amp; HAT</t>
        </is>
      </c>
      <c r="D147">
        <f>U147</f>
        <v/>
      </c>
      <c r="E147" t="n">
        <v>1128833</v>
      </c>
      <c r="F147" t="inlineStr">
        <is>
          <t>MEADOW CAP</t>
        </is>
      </c>
      <c r="G147" t="inlineStr">
        <is>
          <t>DGY      NV      RD      TN      TQ</t>
        </is>
      </c>
      <c r="H147" t="inlineStr">
        <is>
          <t>NV      RD      TQ</t>
        </is>
      </c>
      <c r="I147">
        <f>VLOOKUP(H147,[1]尺寸簡表!$C$3:$D$1263,2,0)</f>
        <v/>
      </c>
      <c r="J147" t="n">
        <v>1110</v>
      </c>
      <c r="K147" t="inlineStr">
        <is>
          <t>◎ 帽簷長度：7.5cm。
◎ 50D抗撕裂超輕量表布（撥水加工）、DRYTEC®3L（耐水壓20,000mm+，透氣度15,000g/㎡）。</t>
        </is>
      </c>
    </row>
    <row r="148">
      <c r="A148" t="inlineStr"/>
      <c r="B148" t="inlineStr"/>
      <c r="C148" t="inlineStr">
        <is>
          <t>CAP &amp; HAT</t>
        </is>
      </c>
      <c r="D148">
        <f>U148</f>
        <v/>
      </c>
      <c r="E148" t="n">
        <v>1128835</v>
      </c>
      <c r="F148" t="inlineStr">
        <is>
          <t>MEADOW HAT</t>
        </is>
      </c>
      <c r="G148" t="inlineStr">
        <is>
          <t>DGN      DGY      DTL      RD      TN      YL</t>
        </is>
      </c>
      <c r="H148" t="inlineStr">
        <is>
          <t>DGY</t>
        </is>
      </c>
      <c r="I148">
        <f>VLOOKUP(H148,[1]尺寸簡表!$C$3:$D$1263,2,0)</f>
        <v/>
      </c>
      <c r="J148" t="n">
        <v>1410</v>
      </c>
      <c r="K148" t="inlineStr">
        <is>
          <t>◎ 帽簷長度：6.5cm。
◎ 50D抗撕裂超輕量表布（撥水加工）、DRYTEC®3L（耐水壓20,000mm+，透氣度15,000g/㎡）。</t>
        </is>
      </c>
    </row>
    <row r="149">
      <c r="A149" t="inlineStr"/>
      <c r="B149" t="inlineStr"/>
      <c r="C149" t="inlineStr">
        <is>
          <t>CAP &amp; HAT</t>
        </is>
      </c>
      <c r="D149">
        <f>U149</f>
        <v/>
      </c>
      <c r="E149" t="n">
        <v>1128836</v>
      </c>
      <c r="F149" t="inlineStr">
        <is>
          <t>MEADOW LONG TAIL HAT</t>
        </is>
      </c>
      <c r="G149" t="inlineStr">
        <is>
          <t>BGY      DGY      TN</t>
        </is>
      </c>
      <c r="H149" t="inlineStr">
        <is>
          <t>BGY</t>
        </is>
      </c>
      <c r="I149">
        <f>VLOOKUP(H149,[1]尺寸簡表!$C$3:$D$1263,2,0)</f>
        <v/>
      </c>
      <c r="J149" t="n">
        <v>1460</v>
      </c>
      <c r="K149" t="inlineStr">
        <is>
          <t>◎ 帽簷長度：前7cm 、後11cm。
◎ 50D尼龍，DRYTEC® 3L（耐水壓20,000mm，透氣度15,000g/㎡）。</t>
        </is>
      </c>
    </row>
    <row r="150">
      <c r="A150" t="inlineStr">
        <is>
          <t>27SS</t>
        </is>
      </c>
      <c r="B150" t="inlineStr">
        <is>
          <t>27SS</t>
        </is>
      </c>
      <c r="C150" t="inlineStr">
        <is>
          <t>CAP &amp; HAT</t>
        </is>
      </c>
      <c r="D150">
        <f>U150</f>
        <v/>
      </c>
      <c r="E150" t="n">
        <v>1128832</v>
      </c>
      <c r="F150" t="inlineStr">
        <is>
          <t>MEADOW PARASOL HAT</t>
        </is>
      </c>
      <c r="G150" t="inlineStr">
        <is>
          <t>BK      NV      YL</t>
        </is>
      </c>
      <c r="H150" t="inlineStr">
        <is>
          <t>YL</t>
        </is>
      </c>
      <c r="I150">
        <f>VLOOKUP(H150,[1]尺寸簡表!$C$3:$D$1263,2,0)</f>
        <v/>
      </c>
      <c r="J150" t="n">
        <v>1380</v>
      </c>
      <c r="K150" t="inlineStr">
        <is>
          <t>◎ 帽簷長度：11cm。
◎ 40D尼龍，(SUPER) DRYTEC 3L（耐水壓20,000mm+）。
◎ 仿棉材質柔軟觸感，經久耐用。</t>
        </is>
      </c>
    </row>
    <row r="151">
      <c r="A151" t="inlineStr"/>
      <c r="B151" t="inlineStr"/>
      <c r="C151" t="inlineStr">
        <is>
          <t>CAP &amp; HAT</t>
        </is>
      </c>
      <c r="D151">
        <f>U151</f>
        <v/>
      </c>
      <c r="E151" t="n">
        <v>1128834</v>
      </c>
      <c r="F151" t="inlineStr">
        <is>
          <t>MEADOW WORK CAP</t>
        </is>
      </c>
      <c r="G151" t="inlineStr">
        <is>
          <t>BK      DTL      TN</t>
        </is>
      </c>
      <c r="H151" t="inlineStr">
        <is>
          <t>DTL</t>
        </is>
      </c>
      <c r="I151">
        <f>VLOOKUP(H151,[1]尺寸簡表!$C$3:$D$1263,2,0)</f>
        <v/>
      </c>
      <c r="J151" t="n">
        <v>1170</v>
      </c>
      <c r="K151" t="inlineStr">
        <is>
          <t>◎ 帽簷長度：7cm。
◎ 50D抗撕裂超輕量表布（撥水加工）、DRYTEC®3L（耐水壓20,000mm+，透氣度15,000g/㎡）。</t>
        </is>
      </c>
    </row>
    <row r="152">
      <c r="A152" t="inlineStr"/>
      <c r="B152" t="inlineStr"/>
      <c r="C152" t="inlineStr">
        <is>
          <t>CAP &amp; HAT</t>
        </is>
      </c>
      <c r="D152">
        <f>U152</f>
        <v/>
      </c>
      <c r="E152" t="n">
        <v>1119110</v>
      </c>
      <c r="F152" t="inlineStr">
        <is>
          <t>MERINO WOOL PLUS LIGHT WATCH CAP</t>
        </is>
      </c>
      <c r="G152" t="inlineStr">
        <is>
          <t>BGN      DGY      YL</t>
        </is>
      </c>
      <c r="H152" t="inlineStr">
        <is>
          <t>YL</t>
        </is>
      </c>
      <c r="I152">
        <f>VLOOKUP(H152,[1]尺寸簡表!$C$3:$D$1263,2,0)</f>
        <v/>
      </c>
      <c r="J152" t="n">
        <v>990</v>
      </c>
      <c r="K152" t="inlineStr">
        <is>
          <t>◎ MERINO WOOL PLUS™：羊毛78%+聚酯纖維22%。吸濕快乾、抗臭。
◎ 可單獨使用或當頭盔內襯。</t>
        </is>
      </c>
    </row>
    <row r="153">
      <c r="A153" t="inlineStr"/>
      <c r="B153" t="inlineStr"/>
      <c r="C153" t="inlineStr">
        <is>
          <t>CAP &amp; HAT</t>
        </is>
      </c>
      <c r="D153">
        <f>U153</f>
        <v/>
      </c>
      <c r="E153" t="n">
        <v>1119205</v>
      </c>
      <c r="F153" t="inlineStr">
        <is>
          <t>MERINOWOOL JACQUARD WARMER CAP</t>
        </is>
      </c>
      <c r="G153" t="inlineStr">
        <is>
          <t>BL      DGY      OG</t>
        </is>
      </c>
      <c r="H153" t="inlineStr">
        <is>
          <t>OG</t>
        </is>
      </c>
      <c r="I153">
        <f>VLOOKUP(H153,[1]尺寸簡表!$C$3:$D$1263,2,0)</f>
        <v/>
      </c>
      <c r="J153" t="n">
        <v>1050</v>
      </c>
      <c r="K153" t="inlineStr">
        <is>
          <t>◎ 材質：MERINO WOOL 100%。
◎ 採用色彩鮮豔的提花針織設計。
◎ 雙層頭帶設計，提升貼合度與保暖性。</t>
        </is>
      </c>
    </row>
    <row r="154">
      <c r="A154" t="inlineStr"/>
      <c r="B154" t="inlineStr"/>
      <c r="C154" t="inlineStr">
        <is>
          <t>CAP &amp; HAT</t>
        </is>
      </c>
      <c r="D154">
        <f>U154</f>
        <v/>
      </c>
      <c r="E154" t="n">
        <v>1118897</v>
      </c>
      <c r="F154" t="inlineStr">
        <is>
          <t>NORTH POLE CAP</t>
        </is>
      </c>
      <c r="G154" t="inlineStr">
        <is>
          <t>NV</t>
        </is>
      </c>
      <c r="H154" t="inlineStr">
        <is>
          <t>NV</t>
        </is>
      </c>
      <c r="I154">
        <f>VLOOKUP(H154,[1]尺寸簡表!$C$3:$D$1263,2,0)</f>
        <v/>
      </c>
      <c r="J154" t="n">
        <v>1560</v>
      </c>
      <c r="K154" t="inlineStr">
        <is>
          <t>◎ 表布：75D聚酯纖維，DRYTEC®2L提供良好的防風功能。內裡：CLIMAAIR®。
◎ 蓋耳部分有透氣孔可聽見外面聲音、可向上收折，帽簷可向上扣。</t>
        </is>
      </c>
    </row>
    <row r="155">
      <c r="A155" t="inlineStr"/>
      <c r="B155" t="inlineStr"/>
      <c r="C155" t="inlineStr">
        <is>
          <t>CAP &amp; HAT</t>
        </is>
      </c>
      <c r="D155">
        <f>U155</f>
        <v/>
      </c>
      <c r="E155" t="n">
        <v>1118773</v>
      </c>
      <c r="F155" t="inlineStr">
        <is>
          <t>O.D. CAP</t>
        </is>
      </c>
      <c r="G155" t="inlineStr">
        <is>
          <t>BK      NV      TN      WRD</t>
        </is>
      </c>
      <c r="H155" t="inlineStr">
        <is>
          <t>WRD</t>
        </is>
      </c>
      <c r="I155">
        <f>VLOOKUP(H155,[1]尺寸簡表!$C$3:$D$1263,2,0)</f>
        <v/>
      </c>
      <c r="J155" t="n">
        <v>1040</v>
      </c>
      <c r="K155" t="inlineStr">
        <is>
          <t>◎ 帽簷長度：7.0cm。
◎ 70D尼龍布（撥水加工），帽簷不易變形。快乾、輕量，UV CUT。</t>
        </is>
      </c>
    </row>
    <row r="156">
      <c r="A156" t="inlineStr"/>
      <c r="B156" t="inlineStr"/>
      <c r="C156" t="inlineStr">
        <is>
          <t>CAP &amp; HAT</t>
        </is>
      </c>
      <c r="D156">
        <f>U156</f>
        <v/>
      </c>
      <c r="E156" t="n">
        <v>1118934</v>
      </c>
      <c r="F156" t="inlineStr">
        <is>
          <t>O.D. LINE CAP</t>
        </is>
      </c>
      <c r="G156" t="inlineStr">
        <is>
          <t>BK      BN      NV</t>
        </is>
      </c>
      <c r="H156" t="inlineStr">
        <is>
          <t>BN</t>
        </is>
      </c>
      <c r="I156">
        <f>VLOOKUP(H156,[1]尺寸簡表!$C$3:$D$1263,2,0)</f>
        <v/>
      </c>
      <c r="J156" t="n">
        <v>1220</v>
      </c>
      <c r="K156" t="inlineStr">
        <is>
          <t>◎ 70D尼龍布（撥水加工），透氣、快乾、UV CUT。</t>
        </is>
      </c>
    </row>
    <row r="157">
      <c r="A157" t="inlineStr"/>
      <c r="B157" t="inlineStr"/>
      <c r="C157" t="inlineStr">
        <is>
          <t>CAP &amp; HAT</t>
        </is>
      </c>
      <c r="D157">
        <f>U157</f>
        <v/>
      </c>
      <c r="E157" t="n">
        <v>1118935</v>
      </c>
      <c r="F157" t="inlineStr">
        <is>
          <t>O.D. LINE HAT</t>
        </is>
      </c>
      <c r="G157" t="inlineStr">
        <is>
          <t>BN      DGY      NV</t>
        </is>
      </c>
      <c r="H157" t="inlineStr">
        <is>
          <t>NV</t>
        </is>
      </c>
      <c r="I157">
        <f>VLOOKUP(H157,[1]尺寸簡表!$C$3:$D$1263,2,0)</f>
        <v/>
      </c>
      <c r="J157" t="n">
        <v>1400</v>
      </c>
      <c r="K157" t="inlineStr">
        <is>
          <t>◎ 70D尼龍布（撥水加工），快乾，UV CUT。</t>
        </is>
      </c>
    </row>
    <row r="158">
      <c r="A158" t="inlineStr"/>
      <c r="B158" t="inlineStr"/>
      <c r="C158" t="inlineStr">
        <is>
          <t>CAP &amp; HAT</t>
        </is>
      </c>
      <c r="D158">
        <f>U158</f>
        <v/>
      </c>
      <c r="E158" t="n">
        <v>1119233</v>
      </c>
      <c r="F158" t="inlineStr">
        <is>
          <t>O.D. PRINT REVERSIBLE THERMAL HAT</t>
        </is>
      </c>
      <c r="G158" t="inlineStr">
        <is>
          <t>#1      #3      #4</t>
        </is>
      </c>
      <c r="H158" t="inlineStr">
        <is>
          <t>#1</t>
        </is>
      </c>
      <c r="I158">
        <f>VLOOKUP(H158,[1]尺寸簡表!$C$3:$D$1263,2,0)</f>
        <v/>
      </c>
      <c r="J158" t="n">
        <v>1370</v>
      </c>
      <c r="K158" t="inlineStr">
        <is>
          <t>◎ 正面：70D尼龍。反面：CHAMEECE™材質是人類毛髮1/10Φ的超細纖維，柔軟親膚、彈性佳，質輕保暖；兩面皆可穿戴的便帽。</t>
        </is>
      </c>
    </row>
    <row r="159">
      <c r="A159" t="inlineStr"/>
      <c r="B159" t="inlineStr"/>
      <c r="C159" t="inlineStr">
        <is>
          <t>CAP &amp; HAT</t>
        </is>
      </c>
      <c r="D159">
        <f>U159</f>
        <v/>
      </c>
      <c r="E159" t="n">
        <v>1108435</v>
      </c>
      <c r="F159" t="inlineStr">
        <is>
          <t>PARASOL HAT</t>
        </is>
      </c>
      <c r="G159" t="inlineStr">
        <is>
          <t>LTN      MINE      NV</t>
        </is>
      </c>
      <c r="H159" t="inlineStr">
        <is>
          <t>LTN      MINE      NV</t>
        </is>
      </c>
      <c r="I159">
        <f>VLOOKUP(H159,[1]尺寸簡表!$C$3:$D$1263,2,0)</f>
        <v/>
      </c>
      <c r="J159" t="n">
        <v>1050</v>
      </c>
      <c r="K159" t="inlineStr">
        <is>
          <t>◎ 帽簷長度：10.7cm。
◎ 尼龍、帽簷的圓盤帽，提供良好的遮光性、隔熱性，適合炎熱的夏天配戴。
◎ 快乾、輕量，可收折。UV CUT。</t>
        </is>
      </c>
    </row>
    <row r="160">
      <c r="A160" t="inlineStr"/>
      <c r="B160" t="inlineStr"/>
      <c r="C160" t="inlineStr">
        <is>
          <t>CAP &amp; HAT</t>
        </is>
      </c>
      <c r="D160">
        <f>U160</f>
        <v/>
      </c>
      <c r="E160" t="n">
        <v>1119144</v>
      </c>
      <c r="F160" t="inlineStr">
        <is>
          <t>POP-UP CAP</t>
        </is>
      </c>
      <c r="G160" t="inlineStr">
        <is>
          <t>BK      KH      TN</t>
        </is>
      </c>
      <c r="H160" t="inlineStr">
        <is>
          <t>KH</t>
        </is>
      </c>
      <c r="I160">
        <f>VLOOKUP(H160,[1]尺寸簡表!$C$3:$D$1263,2,0)</f>
        <v/>
      </c>
      <c r="J160" t="n">
        <v>1060</v>
      </c>
      <c r="K160" t="inlineStr">
        <is>
          <t>◎ 帽簷長度：5.0cm。
◎ 材質：94%尼龍+6%聚氨酯（撥水加工），帽簷可抬起確保視線開闊，適合攝影和戶外活動。快乾、輕量，UV CUT。</t>
        </is>
      </c>
    </row>
    <row r="161">
      <c r="A161" t="inlineStr"/>
      <c r="B161" t="inlineStr"/>
      <c r="C161" t="inlineStr">
        <is>
          <t>CAP &amp; HAT</t>
        </is>
      </c>
      <c r="D161">
        <f>U161</f>
        <v/>
      </c>
      <c r="E161" t="n">
        <v>1118238</v>
      </c>
      <c r="F161" t="inlineStr">
        <is>
          <t>REVERSIBLE ALPINE CAP</t>
        </is>
      </c>
      <c r="G161" t="inlineStr">
        <is>
          <t>BK      LTSV      NV</t>
        </is>
      </c>
      <c r="H161" t="inlineStr">
        <is>
          <t>NV      LTSV</t>
        </is>
      </c>
      <c r="I161">
        <f>VLOOKUP(H161,[1]尺寸簡表!$C$3:$D$1263,2,0)</f>
        <v/>
      </c>
      <c r="J161" t="n">
        <v>1400</v>
      </c>
      <c r="K161" t="inlineStr">
        <is>
          <t>◎ 帽簷長度：5.6cm。
◎ 材質：尼龍表布88%+聚氨酯12%，撥水加工。
◎ 內裡：使用CHAMEECE™：超細刷毛、有彈性、輕量。
◎ 雙面皆可使用；鬆緊帶可微調頭圍。</t>
        </is>
      </c>
    </row>
    <row r="162">
      <c r="A162" t="inlineStr"/>
      <c r="B162" t="inlineStr"/>
      <c r="C162" t="inlineStr">
        <is>
          <t>CAP &amp; HAT</t>
        </is>
      </c>
      <c r="D162">
        <f>U162</f>
        <v/>
      </c>
      <c r="E162" t="n">
        <v>1118237</v>
      </c>
      <c r="F162" t="inlineStr">
        <is>
          <t>REVERSIBLE ALPINE EAR WARMER CAP</t>
        </is>
      </c>
      <c r="G162" t="inlineStr">
        <is>
          <t>BN      DGN      LTSV</t>
        </is>
      </c>
      <c r="H162" t="inlineStr">
        <is>
          <t>DGN</t>
        </is>
      </c>
      <c r="I162">
        <f>VLOOKUP(H162,[1]尺寸簡表!$C$3:$D$1263,2,0)</f>
        <v/>
      </c>
      <c r="J162" t="n">
        <v>1100</v>
      </c>
      <c r="K162" t="inlineStr">
        <is>
          <t>◎ 材質：尼龍表布88%+聚氨酯12%，撥水加工。
◎ 內裡：使用CHAMEECE™：超細刷毛、有彈性、輕量。
◎ 雙面皆可使用。</t>
        </is>
      </c>
    </row>
    <row r="163">
      <c r="A163" t="inlineStr"/>
      <c r="B163" t="inlineStr"/>
      <c r="C163" t="inlineStr">
        <is>
          <t>CAP &amp; HAT</t>
        </is>
      </c>
      <c r="D163">
        <f>U163</f>
        <v/>
      </c>
      <c r="E163" t="n">
        <v>1118693</v>
      </c>
      <c r="F163" t="inlineStr">
        <is>
          <t>REVERSIBLE BIRD BILL CAP</t>
        </is>
      </c>
      <c r="G163" t="inlineStr">
        <is>
          <t>BK23      BL      DGY      RD</t>
        </is>
      </c>
      <c r="H163" t="inlineStr">
        <is>
          <t>RD</t>
        </is>
      </c>
      <c r="I163">
        <f>VLOOKUP(H163,[1]尺寸簡表!$C$3:$D$1263,2,0)</f>
        <v/>
      </c>
      <c r="J163" t="n">
        <v>960</v>
      </c>
      <c r="K163" t="inlineStr">
        <is>
          <t>◎ 帽簷長度：7.0cm。
◎ 70D尼龍、塑膠條。輕量、方便攜帶的雙面戴棒球帽，帽簷使用可彎折的膠條隨意塑形、UV CUT。</t>
        </is>
      </c>
    </row>
    <row r="164">
      <c r="A164" t="inlineStr"/>
      <c r="B164" t="inlineStr"/>
      <c r="C164" t="inlineStr">
        <is>
          <t>CAP &amp; HAT</t>
        </is>
      </c>
      <c r="D164">
        <f>U164</f>
        <v/>
      </c>
      <c r="E164" t="n">
        <v>1118694</v>
      </c>
      <c r="F164" t="inlineStr">
        <is>
          <t>REVERSIBLE HAT</t>
        </is>
      </c>
      <c r="G164" t="inlineStr">
        <is>
          <t>BK23      DGN      NV</t>
        </is>
      </c>
      <c r="H164" t="inlineStr">
        <is>
          <t>NV</t>
        </is>
      </c>
      <c r="I164">
        <f>VLOOKUP(H164,[1]尺寸簡表!$C$3:$D$1263,2,0)</f>
        <v/>
      </c>
      <c r="J164" t="n">
        <v>1200</v>
      </c>
      <c r="K164" t="inlineStr">
        <is>
          <t>◎ 帽簷長度：6.5cm。
◎ 70D尼龍、塑膠條。輕量、方便攜帶的雙面圓盤帽，帽簷使用可彎折的膠條隨意塑形、UV CUT。</t>
        </is>
      </c>
    </row>
    <row r="165">
      <c r="A165" t="inlineStr"/>
      <c r="B165" t="inlineStr"/>
      <c r="C165" t="inlineStr">
        <is>
          <t>CAP &amp; HAT</t>
        </is>
      </c>
      <c r="D165">
        <f>U165</f>
        <v/>
      </c>
      <c r="E165" t="n">
        <v>1118585</v>
      </c>
      <c r="F165" t="inlineStr">
        <is>
          <t>RIB KNIT BILL CAP</t>
        </is>
      </c>
      <c r="G165" t="inlineStr">
        <is>
          <t>BK      NV      OTML</t>
        </is>
      </c>
      <c r="H165" t="inlineStr">
        <is>
          <t>OTML</t>
        </is>
      </c>
      <c r="I165">
        <f>VLOOKUP(H165,[1]尺寸簡表!$C$3:$D$1263,2,0)</f>
        <v/>
      </c>
      <c r="J165" t="n">
        <v>900</v>
      </c>
      <c r="K165" t="inlineStr">
        <is>
          <t>◎ 帽簷長度：5.5cm。
◎ 表布：羊毛15%+壓克力纖維85%、內裡：聚酯纖維70%+壓克力纖維30%。具有優異的保暖性及彈性。</t>
        </is>
      </c>
    </row>
    <row r="166">
      <c r="A166" t="inlineStr"/>
      <c r="B166" t="inlineStr"/>
      <c r="C166" t="inlineStr">
        <is>
          <t>CAP &amp; HAT</t>
        </is>
      </c>
      <c r="D166">
        <f>U166</f>
        <v/>
      </c>
      <c r="E166" t="n">
        <v>1119104</v>
      </c>
      <c r="F166" t="inlineStr">
        <is>
          <t>RIB KNIT LIGHT WATCH CAP #1</t>
        </is>
      </c>
      <c r="G166" t="inlineStr">
        <is>
          <t>BL      DBN      KH</t>
        </is>
      </c>
      <c r="H166" t="inlineStr">
        <is>
          <t>BL</t>
        </is>
      </c>
      <c r="I166">
        <f>VLOOKUP(H166,[1]尺寸簡表!$C$3:$D$1263,2,0)</f>
        <v/>
      </c>
      <c r="J166" t="n">
        <v>800</v>
      </c>
      <c r="K166" t="inlineStr">
        <is>
          <t>◎ 材質：聚酯纖維100% 。
◎ 輕量無內裡針織帽，使用彩色結粒紗（紗線中散布小纖維結），展現獨特外觀，適合戶外活動、旅行及日常穿搭。</t>
        </is>
      </c>
    </row>
    <row r="167">
      <c r="A167" t="inlineStr"/>
      <c r="B167" t="inlineStr"/>
      <c r="C167" t="inlineStr">
        <is>
          <t>CAP &amp; HAT</t>
        </is>
      </c>
      <c r="D167">
        <f>U167</f>
        <v/>
      </c>
      <c r="E167" t="n">
        <v>1118586</v>
      </c>
      <c r="F167" t="inlineStr">
        <is>
          <t>RIB KNIT WATCH CAP #1</t>
        </is>
      </c>
      <c r="G167" t="inlineStr">
        <is>
          <t>BK      IND      SD</t>
        </is>
      </c>
      <c r="I167">
        <f>VLOOKUP(H167,[1]尺寸簡表!$C$3:$D$1263,2,0)</f>
        <v/>
      </c>
      <c r="J167" t="n">
        <v>910</v>
      </c>
      <c r="K167" t="inlineStr">
        <is>
          <t>◎ 表布：羊毛15%+壓克力纖維85%、內裡：聚酯纖維70%+壓克力纖維30%。
◎ 內外層皆採無接縫針織，具有優異的保暖性及彈性。</t>
        </is>
      </c>
    </row>
    <row r="168">
      <c r="A168" t="inlineStr"/>
      <c r="B168" t="inlineStr"/>
      <c r="C168" t="inlineStr">
        <is>
          <t>CAP &amp; HAT</t>
        </is>
      </c>
      <c r="D168">
        <f>U168</f>
        <v/>
      </c>
      <c r="E168" t="n">
        <v>1118587</v>
      </c>
      <c r="F168" t="inlineStr">
        <is>
          <t>RIB KNIT WATCH CAP #2</t>
        </is>
      </c>
      <c r="G168" t="inlineStr">
        <is>
          <t>CH      DGN23      HEATH</t>
        </is>
      </c>
      <c r="I168">
        <f>VLOOKUP(H168,[1]尺寸簡表!$C$3:$D$1263,2,0)</f>
        <v/>
      </c>
      <c r="J168" t="n">
        <v>950</v>
      </c>
      <c r="K168" t="inlineStr">
        <is>
          <t>◎ 表布：羊毛15%+壓克力纖維85%、內裡：聚酯纖維70%+壓克力纖維30%。
◎ 內外層皆採無接縫針織，具有優異的保暖性及彈性。</t>
        </is>
      </c>
    </row>
    <row r="169">
      <c r="A169" t="inlineStr"/>
      <c r="B169" t="inlineStr"/>
      <c r="C169" t="inlineStr">
        <is>
          <t>CAP &amp; HAT</t>
        </is>
      </c>
      <c r="D169">
        <f>U169</f>
        <v/>
      </c>
      <c r="E169" t="n">
        <v>1118600</v>
      </c>
      <c r="F169" t="inlineStr">
        <is>
          <t>SOUTH RIM HAT</t>
        </is>
      </c>
      <c r="G169" t="inlineStr">
        <is>
          <t>BKNV      BNKH      GM      LTKH</t>
        </is>
      </c>
      <c r="H169" t="inlineStr">
        <is>
          <t>BNKH</t>
        </is>
      </c>
      <c r="I169">
        <f>VLOOKUP(H169,[1]尺寸簡表!$C$3:$D$1263,2,0)</f>
        <v/>
      </c>
      <c r="J169" t="n">
        <v>1220</v>
      </c>
      <c r="K169" t="inlineStr">
        <is>
          <t>◎ 帽簷長度：6.7cm。
◎ 材質：70D消光尼龍（撥水加工）、UV CUT。</t>
        </is>
      </c>
    </row>
    <row r="170">
      <c r="A170" t="inlineStr"/>
      <c r="B170" t="inlineStr"/>
      <c r="C170" t="inlineStr">
        <is>
          <t>CAP &amp; HAT</t>
        </is>
      </c>
      <c r="D170">
        <f>U170</f>
        <v/>
      </c>
      <c r="E170" t="n">
        <v>1118735</v>
      </c>
      <c r="F170" t="inlineStr">
        <is>
          <t>STRETCH CLIMAPLUS 200 EAR WARMER WATCH CAP</t>
        </is>
      </c>
      <c r="G170" t="inlineStr">
        <is>
          <t>BK      IV      WRD</t>
        </is>
      </c>
      <c r="H170" t="inlineStr">
        <is>
          <t>WRD</t>
        </is>
      </c>
      <c r="I170">
        <f>VLOOKUP(H170,[1]尺寸簡表!$C$3:$D$1263,2,0)</f>
        <v/>
      </c>
      <c r="J170" t="n">
        <v>800</v>
      </c>
      <c r="K170" t="inlineStr">
        <is>
          <t>◎ 材質：STRETCH CLIMAPLUS®200（聚酯纖維95%+聚氨酯5%）、內裡：STRETCH CHAMEECE™。
◎ 提供非常舒適的服貼性、極佳的保暖性和快乾性。</t>
        </is>
      </c>
    </row>
    <row r="171">
      <c r="A171" t="inlineStr"/>
      <c r="B171" t="inlineStr"/>
      <c r="C171" t="inlineStr">
        <is>
          <t>CAP &amp; HAT</t>
        </is>
      </c>
      <c r="D171">
        <f>U171</f>
        <v/>
      </c>
      <c r="E171" t="n">
        <v>1118749</v>
      </c>
      <c r="F171" t="inlineStr">
        <is>
          <t>STRETCH EXCELOFT WATCH CAP</t>
        </is>
      </c>
      <c r="G171" t="inlineStr">
        <is>
          <t>NV24      WRD</t>
        </is>
      </c>
      <c r="H171" t="inlineStr">
        <is>
          <t>NV24</t>
        </is>
      </c>
      <c r="I171">
        <f>VLOOKUP(H171,[1]尺寸簡表!$C$3:$D$1263,2,0)</f>
        <v/>
      </c>
      <c r="J171" t="n">
        <v>1200</v>
      </c>
      <c r="K171" t="inlineStr">
        <is>
          <t>◎ 表布：15D Ballistic®Airlight布料（撥水加工），內裡：填充STRETCH EXCELOFT®專利中空纖維。
◎ 輕量具彈性又有抗水性的材質，提供舒適的保暖性。</t>
        </is>
      </c>
    </row>
    <row r="172">
      <c r="A172" t="inlineStr"/>
      <c r="B172" t="inlineStr"/>
      <c r="C172" t="inlineStr">
        <is>
          <t>CAP &amp; HAT</t>
        </is>
      </c>
      <c r="D172">
        <f>U172</f>
        <v/>
      </c>
      <c r="E172" t="n">
        <v>1118931</v>
      </c>
      <c r="F172" t="inlineStr">
        <is>
          <t>STRETCH O.D. CAP</t>
        </is>
      </c>
      <c r="G172" t="inlineStr">
        <is>
          <t>DGY      KH      NV      TN</t>
        </is>
      </c>
      <c r="H172" t="inlineStr">
        <is>
          <t>DGY</t>
        </is>
      </c>
      <c r="I172">
        <f>VLOOKUP(H172,[1]尺寸簡表!$C$3:$D$1263,2,0)</f>
        <v/>
      </c>
      <c r="J172" t="n">
        <v>860</v>
      </c>
      <c r="K172" t="inlineStr">
        <is>
          <t>◎ 材質：尼龍94％＋聚氨酯6％（撥水加工）、UV CUT。</t>
        </is>
      </c>
    </row>
    <row r="173">
      <c r="A173" t="inlineStr"/>
      <c r="B173" t="inlineStr"/>
      <c r="C173" t="inlineStr">
        <is>
          <t>CAP &amp; HAT</t>
        </is>
      </c>
      <c r="D173">
        <f>U173</f>
        <v/>
      </c>
      <c r="E173" t="n">
        <v>1118933</v>
      </c>
      <c r="F173" t="inlineStr">
        <is>
          <t>STRETCH O.D. CASQUETTE</t>
        </is>
      </c>
      <c r="G173" t="inlineStr">
        <is>
          <t>KH      NV      TN</t>
        </is>
      </c>
      <c r="H173" t="inlineStr">
        <is>
          <t>KH</t>
        </is>
      </c>
      <c r="I173">
        <f>VLOOKUP(H173,[1]尺寸簡表!$C$3:$D$1263,2,0)</f>
        <v/>
      </c>
      <c r="J173" t="n">
        <v>970</v>
      </c>
      <c r="K173" t="inlineStr">
        <is>
          <t>◎ 尼龍94％＋聚氨酯6％（撥水加工），彈性布料、快乾、UV CUT。</t>
        </is>
      </c>
    </row>
    <row r="174">
      <c r="A174" t="inlineStr"/>
      <c r="B174" t="inlineStr"/>
      <c r="C174" t="inlineStr">
        <is>
          <t>CAP &amp; HAT</t>
        </is>
      </c>
      <c r="D174">
        <f>U174</f>
        <v/>
      </c>
      <c r="E174" t="n">
        <v>1118942</v>
      </c>
      <c r="F174" t="inlineStr">
        <is>
          <t>STRETCH O.D. DOT CAP</t>
        </is>
      </c>
      <c r="G174" t="inlineStr">
        <is>
          <t>BL      LGY</t>
        </is>
      </c>
      <c r="H174" t="inlineStr">
        <is>
          <t>LGY</t>
        </is>
      </c>
      <c r="I174">
        <f>VLOOKUP(H174,[1]尺寸簡表!$C$3:$D$1263,2,0)</f>
        <v/>
      </c>
      <c r="J174" t="n">
        <v>860</v>
      </c>
      <c r="K174" t="inlineStr">
        <is>
          <t>◎ 尼龍94％＋聚氨酯6％（撥水加工）。透氣、快乾。</t>
        </is>
      </c>
    </row>
    <row r="175">
      <c r="A175" t="inlineStr"/>
      <c r="B175" t="inlineStr"/>
      <c r="C175" t="inlineStr">
        <is>
          <t>CAP &amp; HAT</t>
        </is>
      </c>
      <c r="D175">
        <f>U175</f>
        <v/>
      </c>
      <c r="E175" t="n">
        <v>1108744</v>
      </c>
      <c r="F175" t="inlineStr">
        <is>
          <t>STRETCH O.D. HAT</t>
        </is>
      </c>
      <c r="G175" t="inlineStr">
        <is>
          <t>GM      MALD      MSGN      TN</t>
        </is>
      </c>
      <c r="H175" t="inlineStr">
        <is>
          <t>TN</t>
        </is>
      </c>
      <c r="I175">
        <f>VLOOKUP(H175,[1]尺寸簡表!$C$3:$D$1263,2,0)</f>
        <v/>
      </c>
      <c r="J175" t="n">
        <v>1100</v>
      </c>
      <c r="K175" t="inlineStr">
        <is>
          <t>◎ 帽簷長度：6.1cm。
◎ 材質：尼龍94%＋聚氨酯6%（撥水加工）、UV CUT、可彎折的膠條隨意塑形。</t>
        </is>
      </c>
    </row>
    <row r="176">
      <c r="A176" t="inlineStr"/>
      <c r="B176" t="inlineStr"/>
      <c r="C176" t="inlineStr">
        <is>
          <t>CAP &amp; HAT</t>
        </is>
      </c>
      <c r="D176">
        <f>U176</f>
        <v/>
      </c>
      <c r="E176" t="n">
        <v>1118932</v>
      </c>
      <c r="F176" t="inlineStr">
        <is>
          <t>STRETCH O.D. SHORT BRIM HAT</t>
        </is>
      </c>
      <c r="G176" t="inlineStr">
        <is>
          <t>BGN      KH      TN      WRD</t>
        </is>
      </c>
      <c r="H176" t="inlineStr">
        <is>
          <t>TN</t>
        </is>
      </c>
      <c r="I176">
        <f>VLOOKUP(H176,[1]尺寸簡表!$C$3:$D$1263,2,0)</f>
        <v/>
      </c>
      <c r="J176" t="n">
        <v>1220</v>
      </c>
      <c r="K176" t="inlineStr">
        <is>
          <t>◎ 帽簷長度：5cm。
◎ 材質：94％尼龍＋6％聚氨酯（撥水加工）、UV CUT。</t>
        </is>
      </c>
    </row>
    <row r="177">
      <c r="A177" t="inlineStr"/>
      <c r="B177" t="inlineStr"/>
      <c r="C177" t="inlineStr">
        <is>
          <t>CAP &amp; HAT</t>
        </is>
      </c>
      <c r="D177">
        <f>U177</f>
        <v/>
      </c>
      <c r="E177" t="n">
        <v>1118792</v>
      </c>
      <c r="F177" t="inlineStr">
        <is>
          <t>STRETCH O.D. WORK CAP</t>
        </is>
      </c>
      <c r="G177" t="inlineStr">
        <is>
          <t>BK      KGN      NV      TN</t>
        </is>
      </c>
      <c r="H177" t="inlineStr">
        <is>
          <t>KGN</t>
        </is>
      </c>
      <c r="I177">
        <f>VLOOKUP(H177,[1]尺寸簡表!$C$3:$D$1263,2,0)</f>
        <v/>
      </c>
      <c r="J177" t="n">
        <v>950</v>
      </c>
      <c r="K177" t="inlineStr">
        <is>
          <t>◎ 帽簷長度：6.5cm。
◎ 94％尼龍＋6％聚氨酯抗撕裂纖維（超耐久撥水加工）、塑膠條、可彎折的膠條隨意塑形、UV CUT。</t>
        </is>
      </c>
    </row>
    <row r="178">
      <c r="A178" t="inlineStr"/>
      <c r="B178" t="inlineStr"/>
      <c r="C178" t="inlineStr">
        <is>
          <t>CAP &amp; HAT</t>
        </is>
      </c>
      <c r="D178">
        <f>U178</f>
        <v/>
      </c>
      <c r="E178" t="n">
        <v>1118593</v>
      </c>
      <c r="F178" t="inlineStr">
        <is>
          <t>TIBETAN CAP BORDER</t>
        </is>
      </c>
      <c r="G178" t="inlineStr">
        <is>
          <t>DPK      IND      LGY</t>
        </is>
      </c>
      <c r="I178">
        <f>VLOOKUP(H178,[1]尺寸簡表!$C$3:$D$1263,2,0)</f>
        <v/>
      </c>
      <c r="J178" t="n">
        <v>1110</v>
      </c>
      <c r="K178" t="inlineStr">
        <is>
          <t>◎ 表布：羊毛15%+壓克力纖維85%、內裡：聚酯纖維70%+壓克力纖維30%。
◎ 具有優異的保暖性及彈性。</t>
        </is>
      </c>
    </row>
    <row r="179">
      <c r="A179" t="inlineStr"/>
      <c r="B179" t="inlineStr"/>
      <c r="C179" t="inlineStr">
        <is>
          <t>CAP &amp; HAT</t>
        </is>
      </c>
      <c r="D179">
        <f>U179</f>
        <v/>
      </c>
      <c r="E179" t="n">
        <v>1118594</v>
      </c>
      <c r="F179" t="inlineStr">
        <is>
          <t>TIBETAN CAP FOREST</t>
        </is>
      </c>
      <c r="G179" t="inlineStr">
        <is>
          <t>BN      GY      NV</t>
        </is>
      </c>
      <c r="H179" t="inlineStr">
        <is>
          <t>BN      GY</t>
        </is>
      </c>
      <c r="I179">
        <f>VLOOKUP(H179,[1]尺寸簡表!$C$3:$D$1263,2,0)</f>
        <v/>
      </c>
      <c r="J179" t="n">
        <v>1070</v>
      </c>
      <c r="K179" t="inlineStr">
        <is>
          <t>◎ 表布：羊毛15%+壓克力纖維85%、內裡：聚酯纖維70%+壓克力纖維30%。
◎ 具有優異的保暖性及彈性。</t>
        </is>
      </c>
    </row>
    <row r="180">
      <c r="A180" t="inlineStr">
        <is>
          <t>27SS</t>
        </is>
      </c>
      <c r="B180" t="inlineStr">
        <is>
          <t>27SS</t>
        </is>
      </c>
      <c r="C180" t="inlineStr">
        <is>
          <t>CAP &amp; HAT</t>
        </is>
      </c>
      <c r="D180">
        <f>U180</f>
        <v/>
      </c>
      <c r="E180" t="n">
        <v>1128831</v>
      </c>
      <c r="F180" t="inlineStr">
        <is>
          <t>VERSALITE CRUSHABLE CAP</t>
        </is>
      </c>
      <c r="G180" t="inlineStr">
        <is>
          <t>BL      DGY      LGY</t>
        </is>
      </c>
      <c r="H180" t="inlineStr">
        <is>
          <t>BL</t>
        </is>
      </c>
      <c r="I180">
        <f>VLOOKUP(H180,[1]尺寸簡表!$C$3:$D$1263,2,0)</f>
        <v/>
      </c>
      <c r="J180" t="n">
        <v>1020</v>
      </c>
      <c r="K180" t="inlineStr">
        <is>
          <t>◎ 表布：7D Ballistic Airlight®抗撕裂尼龍布（撥水加工）、(SUPER) DRYTEC 3L（耐水壓20,000mm+，透氣度50,000g/㎡）。
◎ 帽簷可塑形，輕巧摺疊收納。</t>
        </is>
      </c>
    </row>
    <row r="181">
      <c r="A181" t="inlineStr"/>
      <c r="B181" t="inlineStr"/>
      <c r="C181" t="inlineStr">
        <is>
          <t>CAP &amp; HAT</t>
        </is>
      </c>
      <c r="D181">
        <f>U181</f>
        <v/>
      </c>
      <c r="E181" t="n">
        <v>2108197</v>
      </c>
      <c r="F181" t="inlineStr">
        <is>
          <t>WASHED OUT STRETCH COTTON SMOOTH CAP #4</t>
        </is>
      </c>
      <c r="G181" t="inlineStr">
        <is>
          <t>KH</t>
        </is>
      </c>
      <c r="I181">
        <f>VLOOKUP(H181,[1]尺寸簡表!$C$3:$D$1263,2,0)</f>
        <v/>
      </c>
      <c r="J181" t="n">
        <v>940</v>
      </c>
      <c r="K181" t="inlineStr">
        <is>
          <t>◎ 帽簷長度：7.3cm。
◎ 材質：棉95%+聚氨酯5%。彈性布料，mont-bell刺繡標籤。</t>
        </is>
      </c>
    </row>
    <row r="182">
      <c r="A182" t="inlineStr"/>
      <c r="B182" t="inlineStr"/>
      <c r="C182" t="inlineStr">
        <is>
          <t>CAP &amp; HAT</t>
        </is>
      </c>
      <c r="D182">
        <f>U182</f>
        <v/>
      </c>
      <c r="E182" t="n">
        <v>2108198</v>
      </c>
      <c r="F182" t="inlineStr">
        <is>
          <t>WASHED OUT STRETCH COTTON SMOOTH CAP #5</t>
        </is>
      </c>
      <c r="G182" t="inlineStr">
        <is>
          <t>KH</t>
        </is>
      </c>
      <c r="H182" t="inlineStr">
        <is>
          <t>KH</t>
        </is>
      </c>
      <c r="I182">
        <f>VLOOKUP(H182,[1]尺寸簡表!$C$3:$D$1263,2,0)</f>
        <v/>
      </c>
      <c r="J182" t="n">
        <v>940</v>
      </c>
      <c r="K182" t="inlineStr">
        <is>
          <t>◎ 帽簷長度：7.3cm。
◎ 材質：棉95%+聚氨酯5%。彈性布料，mont-bell刺繡標籤。</t>
        </is>
      </c>
    </row>
    <row r="183">
      <c r="A183" t="inlineStr"/>
      <c r="B183" t="inlineStr"/>
      <c r="C183" t="inlineStr">
        <is>
          <t>CAP &amp; HAT</t>
        </is>
      </c>
      <c r="D183">
        <f>U183</f>
        <v/>
      </c>
      <c r="E183" t="n">
        <v>2108199</v>
      </c>
      <c r="F183" t="inlineStr">
        <is>
          <t>WASHED OUT STRETCH COTTON SMOOTH CAP #6</t>
        </is>
      </c>
      <c r="G183" t="inlineStr">
        <is>
          <t>NV</t>
        </is>
      </c>
      <c r="H183" t="inlineStr">
        <is>
          <t>NV</t>
        </is>
      </c>
      <c r="I183">
        <f>VLOOKUP(H183,[1]尺寸簡表!$C$3:$D$1263,2,0)</f>
        <v/>
      </c>
      <c r="J183" t="n">
        <v>940</v>
      </c>
      <c r="K183" t="inlineStr">
        <is>
          <t>◎ 帽簷長度：7.3cm。
◎ 材質：棉95%+聚氨酯5%。彈性布料，mont-bell刺繡標籤。</t>
        </is>
      </c>
    </row>
    <row r="184">
      <c r="A184" t="inlineStr"/>
      <c r="B184" t="inlineStr"/>
      <c r="C184" t="inlineStr">
        <is>
          <t>CAP &amp; HAT</t>
        </is>
      </c>
      <c r="D184">
        <f>U184</f>
        <v/>
      </c>
      <c r="E184" t="n">
        <v>1118814</v>
      </c>
      <c r="F184" t="inlineStr">
        <is>
          <t>WATCH CAP #10</t>
        </is>
      </c>
      <c r="G184" t="inlineStr">
        <is>
          <t>GN      GY</t>
        </is>
      </c>
      <c r="H184" t="inlineStr">
        <is>
          <t>GY</t>
        </is>
      </c>
      <c r="I184">
        <f>VLOOKUP(H184,[1]尺寸簡表!$C$3:$D$1263,2,0)</f>
        <v/>
      </c>
      <c r="J184" t="n">
        <v>1180</v>
      </c>
      <c r="K184" t="inlineStr">
        <is>
          <t>◎ 材質：壓克力纖維70%+羊毛30%。
◎ 彈性優良的針織保暖帽。</t>
        </is>
      </c>
    </row>
    <row r="185">
      <c r="A185" t="inlineStr"/>
      <c r="B185" t="inlineStr"/>
      <c r="C185" t="inlineStr">
        <is>
          <t>CAP &amp; HAT</t>
        </is>
      </c>
      <c r="D185">
        <f>U185</f>
        <v/>
      </c>
      <c r="E185" t="n">
        <v>1118815</v>
      </c>
      <c r="F185" t="inlineStr">
        <is>
          <t>WATCH CAP #11</t>
        </is>
      </c>
      <c r="G185" t="inlineStr">
        <is>
          <t>GN      NV</t>
        </is>
      </c>
      <c r="H185" t="inlineStr">
        <is>
          <t>NV</t>
        </is>
      </c>
      <c r="I185">
        <f>VLOOKUP(H185,[1]尺寸簡表!$C$3:$D$1263,2,0)</f>
        <v/>
      </c>
      <c r="J185" t="n">
        <v>1180</v>
      </c>
      <c r="K185" t="inlineStr">
        <is>
          <t>◎ 材質：壓克力纖維70%+羊毛30%。
◎ 彈性優良的針織保暖帽。</t>
        </is>
      </c>
    </row>
    <row r="186">
      <c r="A186" t="inlineStr"/>
      <c r="B186" t="inlineStr"/>
      <c r="C186" t="inlineStr">
        <is>
          <t>CAP &amp; HAT</t>
        </is>
      </c>
      <c r="D186">
        <f>U186</f>
        <v/>
      </c>
      <c r="E186" t="n">
        <v>1118899</v>
      </c>
      <c r="F186" t="inlineStr">
        <is>
          <t>WATCH CAP #13</t>
        </is>
      </c>
      <c r="G186" t="inlineStr">
        <is>
          <t>BK      GY      NV</t>
        </is>
      </c>
      <c r="H186" t="inlineStr">
        <is>
          <t>NV      GY</t>
        </is>
      </c>
      <c r="I186">
        <f>VLOOKUP(H186,[1]尺寸簡表!$C$3:$D$1263,2,0)</f>
        <v/>
      </c>
      <c r="J186" t="n">
        <v>1360</v>
      </c>
      <c r="K186" t="inlineStr">
        <is>
          <t>◎ 材質：壓克力70%+羊毛30%。
◎ 內外層皆採無接縫針織，具有優異的保暖性及彈性。</t>
        </is>
      </c>
    </row>
    <row r="187">
      <c r="A187" t="inlineStr"/>
      <c r="B187" t="inlineStr"/>
      <c r="C187" t="inlineStr">
        <is>
          <t>CAP &amp; HAT</t>
        </is>
      </c>
      <c r="D187">
        <f>U187</f>
        <v/>
      </c>
      <c r="E187" t="n">
        <v>1118635</v>
      </c>
      <c r="F187" t="inlineStr">
        <is>
          <t>WATCH CAP #3</t>
        </is>
      </c>
      <c r="G187" t="inlineStr">
        <is>
          <t>HGY      IND      OLYL</t>
        </is>
      </c>
      <c r="I187">
        <f>VLOOKUP(H187,[1]尺寸簡表!$C$3:$D$1263,2,0)</f>
        <v/>
      </c>
      <c r="J187" t="n">
        <v>880</v>
      </c>
      <c r="K187" t="inlineStr">
        <is>
          <t>◎ 表布：壓克力85%+羊毛15%、內裡：聚酯纖維70%+壓克力30%。
◎ 內外層皆採無接縫針織，具有優異的保暖性及彈性。</t>
        </is>
      </c>
    </row>
    <row r="188">
      <c r="A188" t="inlineStr"/>
      <c r="B188" t="inlineStr"/>
      <c r="C188" t="inlineStr">
        <is>
          <t>CAP &amp; HAT</t>
        </is>
      </c>
      <c r="D188">
        <f>U188</f>
        <v/>
      </c>
      <c r="E188" t="n">
        <v>1118679</v>
      </c>
      <c r="F188" t="inlineStr">
        <is>
          <t>WATCH CAP #4</t>
        </is>
      </c>
      <c r="G188" t="inlineStr">
        <is>
          <t>BK      DKMA      HGY      LV      YGN</t>
        </is>
      </c>
      <c r="H188" t="inlineStr">
        <is>
          <t>BK      DKMA</t>
        </is>
      </c>
      <c r="I188">
        <f>VLOOKUP(H188,[1]尺寸簡表!$C$3:$D$1263,2,0)</f>
        <v/>
      </c>
      <c r="J188" t="n">
        <v>960</v>
      </c>
      <c r="K188" t="inlineStr">
        <is>
          <t>◎ 材質：壓克力纖維85%+羊毛15%。
◎ 彈性優良的針織保暖帽，男女兼用。</t>
        </is>
      </c>
    </row>
    <row r="189">
      <c r="A189" t="inlineStr"/>
      <c r="B189" t="inlineStr"/>
      <c r="C189" t="inlineStr">
        <is>
          <t>CAP &amp; HAT</t>
        </is>
      </c>
      <c r="D189">
        <f>U189</f>
        <v/>
      </c>
      <c r="E189" t="n">
        <v>1118817</v>
      </c>
      <c r="F189" t="inlineStr">
        <is>
          <t>WATCH CAP #8</t>
        </is>
      </c>
      <c r="G189" t="inlineStr">
        <is>
          <t>BGN      LGY      OG</t>
        </is>
      </c>
      <c r="H189" t="inlineStr">
        <is>
          <t>LGY</t>
        </is>
      </c>
      <c r="I189">
        <f>VLOOKUP(H189,[1]尺寸簡表!$C$3:$D$1263,2,0)</f>
        <v/>
      </c>
      <c r="J189" t="n">
        <v>1100</v>
      </c>
      <c r="K189" t="inlineStr">
        <is>
          <t>◎ 材質：壓克力纖維63%+羊毛27%+尼龍10%。
◎ 內外層皆採無接縫針織，具有優異的保暖性及彈性。</t>
        </is>
      </c>
    </row>
    <row r="190">
      <c r="A190" t="inlineStr"/>
      <c r="B190" t="inlineStr"/>
      <c r="C190" t="inlineStr">
        <is>
          <t>CAP &amp; HAT</t>
        </is>
      </c>
      <c r="D190">
        <f>U190</f>
        <v/>
      </c>
      <c r="E190" t="n">
        <v>1119137</v>
      </c>
      <c r="F190" t="inlineStr">
        <is>
          <t>WATCH CAP ONE-POINT #1</t>
        </is>
      </c>
      <c r="G190" t="inlineStr">
        <is>
          <t>TN</t>
        </is>
      </c>
      <c r="H190" t="inlineStr">
        <is>
          <t>TN</t>
        </is>
      </c>
      <c r="I190">
        <f>VLOOKUP(H190,[1]尺寸簡表!$C$3:$D$1263,2,0)</f>
        <v/>
      </c>
      <c r="J190" t="n">
        <v>800</v>
      </c>
      <c r="K190" t="inlineStr">
        <is>
          <t>◎ 材質：聚酯纖維54%+壓克力纖維20%+尼龍20%+美麗諾羊毛6%。
◎ 輕量內裡針織帽，附魚圖案布章，簡潔設計，配戴舒適，適合日常穿搭。</t>
        </is>
      </c>
    </row>
    <row r="191">
      <c r="A191" t="inlineStr"/>
      <c r="B191" t="inlineStr"/>
      <c r="C191" t="inlineStr">
        <is>
          <t>CAP &amp; HAT</t>
        </is>
      </c>
      <c r="D191">
        <f>U191</f>
        <v/>
      </c>
      <c r="E191" t="n">
        <v>1119138</v>
      </c>
      <c r="F191" t="inlineStr">
        <is>
          <t>WATCH CAP ONE-POINT #2</t>
        </is>
      </c>
      <c r="G191" t="inlineStr">
        <is>
          <t>LGY</t>
        </is>
      </c>
      <c r="H191" t="inlineStr">
        <is>
          <t>LGY</t>
        </is>
      </c>
      <c r="I191">
        <f>VLOOKUP(H191,[1]尺寸簡表!$C$3:$D$1263,2,0)</f>
        <v/>
      </c>
      <c r="J191" t="n">
        <v>800</v>
      </c>
      <c r="K191" t="inlineStr">
        <is>
          <t>◎ 材質：聚酯纖維54%+壓克力纖維20%+尼龍20%+美麗諾羊毛6%。
◎ 輕量內裡針織帽，附山型圖案布章，簡潔設計，配戴舒適，適合日常穿搭。</t>
        </is>
      </c>
    </row>
    <row r="192">
      <c r="A192" t="inlineStr"/>
      <c r="B192" t="inlineStr"/>
      <c r="C192" t="inlineStr">
        <is>
          <t>CAP &amp; HAT</t>
        </is>
      </c>
      <c r="D192">
        <f>U192</f>
        <v/>
      </c>
      <c r="E192" t="n">
        <v>1119139</v>
      </c>
      <c r="F192" t="inlineStr">
        <is>
          <t>WATCH CAP ONE-POINT #3</t>
        </is>
      </c>
      <c r="G192" t="inlineStr">
        <is>
          <t>BGN</t>
        </is>
      </c>
      <c r="H192" t="inlineStr">
        <is>
          <t>BGN</t>
        </is>
      </c>
      <c r="I192">
        <f>VLOOKUP(H192,[1]尺寸簡表!$C$3:$D$1263,2,0)</f>
        <v/>
      </c>
      <c r="J192" t="n">
        <v>800</v>
      </c>
      <c r="K192" t="inlineStr">
        <is>
          <t>◎ 材質：聚酯纖維54%+壓克力纖維20%+尼龍20%+美麗諾羊毛6%。
◎ 輕量內裡針織帽，附熊圖案布章，簡潔設計，配戴舒適，適合日常穿搭。</t>
        </is>
      </c>
    </row>
    <row r="193">
      <c r="A193" t="inlineStr"/>
      <c r="B193" t="inlineStr"/>
      <c r="C193" t="inlineStr">
        <is>
          <t>CAP &amp; HAT</t>
        </is>
      </c>
      <c r="D193">
        <f>U193</f>
        <v/>
      </c>
      <c r="E193" t="n">
        <v>1118335</v>
      </c>
      <c r="F193" t="inlineStr">
        <is>
          <t>WICKRON O.D. HAT</t>
        </is>
      </c>
      <c r="G193" t="inlineStr">
        <is>
          <t>DRD      GN      NV22      OG</t>
        </is>
      </c>
      <c r="H193" t="inlineStr">
        <is>
          <t>NV22</t>
        </is>
      </c>
      <c r="I193">
        <f>VLOOKUP(H193,[1]尺寸簡表!$C$3:$D$1263,2,0)</f>
        <v/>
      </c>
      <c r="J193" t="n">
        <v>1330</v>
      </c>
      <c r="K193" t="inlineStr">
        <is>
          <t>◎ 帽簷寬度：6.0cm。
◎ wickron®SUPER WICKDRY FIBER，排汗、快乾、透氣、UV CUT。</t>
        </is>
      </c>
    </row>
    <row r="194">
      <c r="A194" t="inlineStr"/>
      <c r="B194" t="inlineStr"/>
      <c r="C194" t="inlineStr">
        <is>
          <t>CAP &amp; HAT</t>
        </is>
      </c>
      <c r="D194">
        <f>U194</f>
        <v/>
      </c>
      <c r="E194" t="n">
        <v>1108743</v>
      </c>
      <c r="F194" t="inlineStr">
        <is>
          <t>WIDE BRIM HAT</t>
        </is>
      </c>
      <c r="G194" t="inlineStr">
        <is>
          <t>BK      BKNV      KH24      OVGN</t>
        </is>
      </c>
      <c r="H194" t="inlineStr">
        <is>
          <t>BK</t>
        </is>
      </c>
      <c r="I194">
        <f>VLOOKUP(H194,[1]尺寸簡表!$C$3:$D$1263,2,0)</f>
        <v/>
      </c>
      <c r="J194" t="n">
        <v>1200</v>
      </c>
      <c r="K194" t="inlineStr">
        <is>
          <t>◎ 帽簷寬度：8.0cm。
◎ 70D消光尼龍（撥水加工）、UV CUT。</t>
        </is>
      </c>
    </row>
    <row r="195">
      <c r="A195" t="inlineStr"/>
      <c r="B195" t="inlineStr"/>
      <c r="C195" t="inlineStr">
        <is>
          <t>CAP &amp; HAT</t>
        </is>
      </c>
      <c r="D195">
        <f>U195</f>
        <v/>
      </c>
      <c r="E195" t="n">
        <v>1118636</v>
      </c>
      <c r="F195" t="inlineStr">
        <is>
          <t>WOOL JACQUARD BILL CAP</t>
        </is>
      </c>
      <c r="G195" t="inlineStr">
        <is>
          <t>DGN      DKNV      HGY</t>
        </is>
      </c>
      <c r="H195" t="inlineStr">
        <is>
          <t>HGY      DKNV</t>
        </is>
      </c>
      <c r="I195">
        <f>VLOOKUP(H195,[1]尺寸簡表!$C$3:$D$1263,2,0)</f>
        <v/>
      </c>
      <c r="J195" t="n">
        <v>1460</v>
      </c>
      <c r="K195" t="inlineStr">
        <is>
          <t>◎ 帽簷寬度：5.5cm。表布：羊毛100%，內裡：聚酯纖維70%+壓克力纖維30%。
◎ 具有優異的保暖性。</t>
        </is>
      </c>
    </row>
    <row r="196">
      <c r="A196" t="inlineStr"/>
      <c r="B196" t="inlineStr"/>
      <c r="C196" t="inlineStr">
        <is>
          <t>CAP &amp; HAT</t>
        </is>
      </c>
      <c r="D196">
        <f>U196</f>
        <v/>
      </c>
      <c r="E196" t="n">
        <v>1118637</v>
      </c>
      <c r="F196" t="inlineStr">
        <is>
          <t>WOOL JACQUARD WATCH CAP</t>
        </is>
      </c>
      <c r="G196" t="inlineStr">
        <is>
          <t>DGN      IV      NV23</t>
        </is>
      </c>
      <c r="H196" t="inlineStr">
        <is>
          <t>NV23      DGN      IV</t>
        </is>
      </c>
      <c r="I196">
        <f>VLOOKUP(H196,[1]尺寸簡表!$C$3:$D$1263,2,0)</f>
        <v/>
      </c>
      <c r="J196" t="n">
        <v>1100</v>
      </c>
      <c r="K196" t="inlineStr">
        <is>
          <t>◎ 表布：羊毛100%、內裡：聚酯纖維70%+壓克力纖維30%，經典的mont-bell品牌花色。
◎ 具有優異的保暖性，接縫少彈性佳。</t>
        </is>
      </c>
    </row>
    <row r="197">
      <c r="A197" t="inlineStr"/>
      <c r="B197" t="inlineStr"/>
      <c r="C197" t="inlineStr">
        <is>
          <t>CAP &amp; HAT</t>
        </is>
      </c>
      <c r="D197">
        <f>U197</f>
        <v/>
      </c>
      <c r="E197" t="n">
        <v>1108377</v>
      </c>
      <c r="F197" t="inlineStr">
        <is>
          <t>WOOL KNIT BILL CAP</t>
        </is>
      </c>
      <c r="G197" t="inlineStr">
        <is>
          <t>DBN      DKNV      DKOV      OTML</t>
        </is>
      </c>
      <c r="H197" t="inlineStr">
        <is>
          <t>DBN      DKOV</t>
        </is>
      </c>
      <c r="I197">
        <f>VLOOKUP(H197,[1]尺寸簡表!$C$3:$D$1263,2,0)</f>
        <v/>
      </c>
      <c r="J197" t="n">
        <v>1440</v>
      </c>
      <c r="K197" t="inlineStr">
        <is>
          <t>◎ 帽簷寬度：7.2cm。材質：羊毛100%。縫線極少，帽簷與主體融為一體，設計簡潔又溫暖的時尚棒球帽型。</t>
        </is>
      </c>
    </row>
    <row r="198">
      <c r="A198" t="inlineStr"/>
      <c r="B198" t="inlineStr"/>
      <c r="C198" t="inlineStr">
        <is>
          <t>CAP &amp; HAT</t>
        </is>
      </c>
      <c r="D198">
        <f>U198</f>
        <v/>
      </c>
      <c r="E198" t="n">
        <v>1108379</v>
      </c>
      <c r="F198" t="inlineStr">
        <is>
          <t>WOOL KNIT HAT</t>
        </is>
      </c>
      <c r="G198" t="inlineStr">
        <is>
          <t>DBN      DKNV      DKOV      OTML</t>
        </is>
      </c>
      <c r="H198" t="inlineStr">
        <is>
          <t>OTML</t>
        </is>
      </c>
      <c r="I198">
        <f>VLOOKUP(H198,[1]尺寸簡表!$C$3:$D$1263,2,0)</f>
        <v/>
      </c>
      <c r="J198" t="n">
        <v>1750</v>
      </c>
      <c r="K198" t="inlineStr">
        <is>
          <t>◎ 帽簷寬度：5.5cm。材質：羊毛100%。縫線極少，帽簷與主體融為一體，設計簡潔又溫暖的時尚牛仔帽型。</t>
        </is>
      </c>
    </row>
    <row r="199">
      <c r="A199" t="inlineStr"/>
      <c r="B199" t="inlineStr"/>
      <c r="C199" t="inlineStr">
        <is>
          <t>CAP &amp; HAT</t>
        </is>
      </c>
      <c r="D199">
        <f>U199</f>
        <v/>
      </c>
      <c r="E199" t="n">
        <v>1108378</v>
      </c>
      <c r="F199" t="inlineStr">
        <is>
          <t>WOOL KNIT HUNTING</t>
        </is>
      </c>
      <c r="G199" t="inlineStr">
        <is>
          <t>DBN      DKNV      DKOV</t>
        </is>
      </c>
      <c r="H199" t="inlineStr">
        <is>
          <t>DKNV</t>
        </is>
      </c>
      <c r="I199">
        <f>VLOOKUP(H199,[1]尺寸簡表!$C$3:$D$1263,2,0)</f>
        <v/>
      </c>
      <c r="J199" t="n">
        <v>1700</v>
      </c>
      <c r="K199" t="inlineStr">
        <is>
          <t>◎ 帽簷寬度：5.3cm。材質：羊毛100%。縫線極少，帽簷與主體融為一體，設計簡潔又溫暖的時尚帽型。</t>
        </is>
      </c>
    </row>
    <row r="200">
      <c r="A200" t="inlineStr"/>
      <c r="B200" t="inlineStr"/>
      <c r="C200" t="inlineStr">
        <is>
          <t>FIELD WEAR</t>
        </is>
      </c>
      <c r="D200">
        <f>U200</f>
        <v/>
      </c>
      <c r="E200" t="n">
        <v>1132105</v>
      </c>
      <c r="F200" t="inlineStr">
        <is>
          <t>FIELD WRAP APRON SHORT WOMEN'S</t>
        </is>
      </c>
      <c r="G200" t="inlineStr">
        <is>
          <t>DGN      NV      YL</t>
        </is>
      </c>
      <c r="H200" t="inlineStr">
        <is>
          <t>DGN      YL</t>
        </is>
      </c>
      <c r="I200">
        <f>VLOOKUP(H200,[1]尺寸簡表!$C$3:$D$1263,2,0)</f>
        <v/>
      </c>
      <c r="J200" t="n">
        <v>2160</v>
      </c>
      <c r="K200" t="inlineStr">
        <is>
          <t>◎ 94%抗撕裂尼龍＋6%聚氨酯（撥水加工）。
◎ 彈性布料多口袋工作裙。</t>
        </is>
      </c>
    </row>
    <row r="201">
      <c r="A201" t="inlineStr"/>
      <c r="B201" t="inlineStr"/>
      <c r="C201" t="inlineStr">
        <is>
          <t>FIELD WEAR</t>
        </is>
      </c>
      <c r="D201">
        <f>U201</f>
        <v/>
      </c>
      <c r="E201" t="n">
        <v>1132216</v>
      </c>
      <c r="F201" t="inlineStr">
        <is>
          <t>LIGHT FIELD MONPE WOMEN'S</t>
        </is>
      </c>
      <c r="G201" t="inlineStr">
        <is>
          <t>BN      NV</t>
        </is>
      </c>
      <c r="H201" t="inlineStr">
        <is>
          <t>BN</t>
        </is>
      </c>
      <c r="I201">
        <f>VLOOKUP(H201,[1]尺寸簡表!$C$3:$D$1263,2,0)</f>
        <v/>
      </c>
      <c r="J201" t="n">
        <v>1860</v>
      </c>
      <c r="K201" t="inlineStr">
        <is>
          <t>◎ 94% 尼龍 + 6% 聚氨酯，抗撕裂(撥水加工)，輕量、高彈性、快乾。</t>
        </is>
      </c>
    </row>
    <row r="202">
      <c r="A202" t="inlineStr"/>
      <c r="B202" t="inlineStr"/>
      <c r="C202" t="inlineStr">
        <is>
          <t>GLOVES</t>
        </is>
      </c>
      <c r="D202">
        <f>U202</f>
        <v/>
      </c>
      <c r="E202" t="n">
        <v>1118975</v>
      </c>
      <c r="F202" t="inlineStr">
        <is>
          <t>2 IN 1 ALPINE GLOVES MEN'S</t>
        </is>
      </c>
      <c r="G202" t="inlineStr">
        <is>
          <t>BK      NV</t>
        </is>
      </c>
      <c r="H202" t="inlineStr">
        <is>
          <t>NV</t>
        </is>
      </c>
      <c r="I202">
        <f>VLOOKUP(H202,[1]尺寸簡表!$C$3:$D$1263,2,0)</f>
        <v/>
      </c>
      <c r="J202" t="n">
        <v>4930</v>
      </c>
      <c r="K202" t="inlineStr">
        <is>
          <t>◎ 外層－手背：70D彈性尼龍、袖口：75D聚酯纖維、手掌：山羊皮（防潑水加工）、夾層：SUPER DRY-TEC® 。內層－表布：聚酯纖維、內裡：Super Merino Wool（85% 羊毛＋15% 聚酯纖維）、中綿：EXCELOFT® 。
◎ 兩件式可拆式保暖手套。</t>
        </is>
      </c>
    </row>
    <row r="203">
      <c r="A203" t="inlineStr"/>
      <c r="B203" t="inlineStr"/>
      <c r="C203" t="inlineStr">
        <is>
          <t>GLOVES</t>
        </is>
      </c>
      <c r="D203">
        <f>U203</f>
        <v/>
      </c>
      <c r="E203" t="n">
        <v>1118976</v>
      </c>
      <c r="F203" t="inlineStr">
        <is>
          <t>2 IN 1 ALPINE GLOVES WOMEN'S</t>
        </is>
      </c>
      <c r="G203" t="inlineStr">
        <is>
          <t>BK      LGY</t>
        </is>
      </c>
      <c r="H203" t="inlineStr">
        <is>
          <t>LGY</t>
        </is>
      </c>
      <c r="I203">
        <f>VLOOKUP(H203,[1]尺寸簡表!$C$3:$D$1263,2,0)</f>
        <v/>
      </c>
      <c r="J203" t="n">
        <v>4930</v>
      </c>
      <c r="K203" t="inlineStr">
        <is>
          <t>◎ 外層－手背：70D彈性尼龍、袖口：75D聚酯纖維、手掌：山羊皮（防潑水加工）、夾層：SUPER DRY-TEC® 。內層－表布：聚酯纖維、內裡：Super Merino Wool（85% 羊毛＋15% 聚酯纖維）、中綿：EXCELOFT® 。
◎ 兩件式可拆式保暖手套。</t>
        </is>
      </c>
    </row>
    <row r="204">
      <c r="A204" t="inlineStr"/>
      <c r="B204" t="inlineStr"/>
      <c r="C204" t="inlineStr">
        <is>
          <t>GLOVES</t>
        </is>
      </c>
      <c r="D204">
        <f>U204</f>
        <v/>
      </c>
      <c r="E204" t="n">
        <v>1118973</v>
      </c>
      <c r="F204" t="inlineStr">
        <is>
          <t>2 IN 1 ALPINE TECH GLOVES MEN'S</t>
        </is>
      </c>
      <c r="G204" t="inlineStr">
        <is>
          <t>BK</t>
        </is>
      </c>
      <c r="H204" t="inlineStr">
        <is>
          <t>BK</t>
        </is>
      </c>
      <c r="I204">
        <f>VLOOKUP(H204,[1]尺寸簡表!$C$3:$D$1263,2,0)</f>
        <v/>
      </c>
      <c r="J204" t="n">
        <v>7480</v>
      </c>
      <c r="K204" t="inlineStr">
        <is>
          <t>◎ 外層－SUPER DRY-TEC® 3L、手掌：山羊皮（防潑水加工、可水洗）。內層－表布：聚酯纖維、內裡：Super Merino Wool（85% 羊毛＋15% 聚酯纖維）、填充：EXCELOFT® 。
◎ 兩件式可拆式保暖手套。</t>
        </is>
      </c>
    </row>
    <row r="205">
      <c r="A205" t="inlineStr"/>
      <c r="B205" t="inlineStr"/>
      <c r="C205" t="inlineStr">
        <is>
          <t>GLOVES</t>
        </is>
      </c>
      <c r="D205">
        <f>U205</f>
        <v/>
      </c>
      <c r="E205" t="n">
        <v>1118974</v>
      </c>
      <c r="F205" t="inlineStr">
        <is>
          <t>2 IN 1 ALPINE TECH GLOVES WOMEN'S</t>
        </is>
      </c>
      <c r="G205" t="inlineStr">
        <is>
          <t>BK</t>
        </is>
      </c>
      <c r="H205" t="inlineStr">
        <is>
          <t>BK</t>
        </is>
      </c>
      <c r="I205">
        <f>VLOOKUP(H205,[1]尺寸簡表!$C$3:$D$1263,2,0)</f>
        <v/>
      </c>
      <c r="J205" t="n">
        <v>7480</v>
      </c>
      <c r="K205" t="inlineStr">
        <is>
          <t>◎ 外層－SUPER DRY-TEC® 3L、手掌：山羊皮（防潑水加工、可水洗）。內層－表布：聚酯纖維、內裡：Super Merino Wool（85% 羊毛＋15% 聚酯纖維）、填充：EXCELOFT® 。
◎ 兩件式可拆式保暖手套。</t>
        </is>
      </c>
    </row>
    <row r="206">
      <c r="A206" t="inlineStr"/>
      <c r="B206" t="inlineStr"/>
      <c r="C206" t="inlineStr">
        <is>
          <t>GLOVES</t>
        </is>
      </c>
      <c r="D206">
        <f>U206</f>
        <v/>
      </c>
      <c r="E206" t="n">
        <v>1118841</v>
      </c>
      <c r="F206" t="inlineStr">
        <is>
          <t>ALPINE GLOVES LINER MEN'S</t>
        </is>
      </c>
      <c r="G206" t="inlineStr">
        <is>
          <t>RD</t>
        </is>
      </c>
      <c r="H206" t="inlineStr">
        <is>
          <t>RD</t>
        </is>
      </c>
      <c r="I206">
        <f>VLOOKUP(H206,[1]尺寸簡表!$C$3:$D$1263,2,0)</f>
        <v/>
      </c>
      <c r="J206" t="n">
        <v>1900</v>
      </c>
      <c r="K206" t="inlineStr">
        <is>
          <t>◎ 重量：106g。表布：聚酯纖維、內裡：美麗諾羊毛85%+聚酯纖維15%、填充EXCELOFT®專利中空纖維。
◎ 輕量又快乾的保暖手套，亦適合當作手套內裡。</t>
        </is>
      </c>
    </row>
    <row r="207">
      <c r="A207" t="inlineStr"/>
      <c r="B207" t="inlineStr"/>
      <c r="C207" t="inlineStr">
        <is>
          <t>GLOVES</t>
        </is>
      </c>
      <c r="D207">
        <f>U207</f>
        <v/>
      </c>
      <c r="E207" t="n">
        <v>1118842</v>
      </c>
      <c r="F207" t="inlineStr">
        <is>
          <t>ALPINE GLOVES LINER WOMEN'S</t>
        </is>
      </c>
      <c r="G207" t="inlineStr">
        <is>
          <t>RD</t>
        </is>
      </c>
      <c r="H207" t="inlineStr">
        <is>
          <t>RD</t>
        </is>
      </c>
      <c r="I207">
        <f>VLOOKUP(H207,[1]尺寸簡表!$C$3:$D$1263,2,0)</f>
        <v/>
      </c>
      <c r="J207" t="n">
        <v>1680</v>
      </c>
      <c r="K207" t="inlineStr">
        <is>
          <t>◎ 重量：91g。表布：聚酯纖維、內裡：美麗諾羊毛85%+聚酯纖維15%、填充EXCELOFT®專利中空纖維。
◎ 輕量又快乾的保暖手套，亦適合當作手套內裡。</t>
        </is>
      </c>
    </row>
    <row r="208">
      <c r="A208" t="inlineStr"/>
      <c r="B208" t="inlineStr"/>
      <c r="C208" t="inlineStr">
        <is>
          <t>GLOVES</t>
        </is>
      </c>
      <c r="D208">
        <f>U208</f>
        <v/>
      </c>
      <c r="E208" t="n">
        <v>1118979</v>
      </c>
      <c r="F208" t="inlineStr">
        <is>
          <t>ALPINE LIGHT GLOVES MEN'S</t>
        </is>
      </c>
      <c r="G208" t="inlineStr">
        <is>
          <t>BK      NV</t>
        </is>
      </c>
      <c r="H208" t="inlineStr">
        <is>
          <t>NV</t>
        </is>
      </c>
      <c r="I208">
        <f>VLOOKUP(H208,[1]尺寸簡表!$C$3:$D$1263,2,0)</f>
        <v/>
      </c>
      <c r="J208" t="n">
        <v>2880</v>
      </c>
      <c r="K208" t="inlineStr">
        <is>
          <t>◎ 重量：117g。表布：70D彈性尼龍、(SUPER) DRYTEC 3L（耐水壓20,000mm+，透氣度50,000g/㎡）；手掌：山羊皮(撥水處理、可水洗)；內裡：CHAMEECE™超細纖維。
◎ 全年皆可使用的防水保暖手套，適當的厚薄度便於手部活動（中厚手）。</t>
        </is>
      </c>
    </row>
    <row r="209">
      <c r="A209" t="inlineStr"/>
      <c r="B209" t="inlineStr"/>
      <c r="C209" t="inlineStr">
        <is>
          <t>GLOVES</t>
        </is>
      </c>
      <c r="D209">
        <f>U209</f>
        <v/>
      </c>
      <c r="E209" t="n">
        <v>1118980</v>
      </c>
      <c r="F209" t="inlineStr">
        <is>
          <t>ALPINE LIGHT GLOVES WOMEN'S</t>
        </is>
      </c>
      <c r="G209" t="inlineStr">
        <is>
          <t>BK      LGY</t>
        </is>
      </c>
      <c r="H209" t="inlineStr">
        <is>
          <t>LGY</t>
        </is>
      </c>
      <c r="I209">
        <f>VLOOKUP(H209,[1]尺寸簡表!$C$3:$D$1263,2,0)</f>
        <v/>
      </c>
      <c r="J209" t="n">
        <v>2880</v>
      </c>
      <c r="K209" t="inlineStr">
        <is>
          <t>◎ 全年皆可使用的防水保暖手套，適當的厚薄度便於手部活動（中厚手）。
◎ 表布：70D彈性尼龍、(SUPER) DRYTEC®；手掌：採用柔軟的山羊皮，舒適耐用；內裡：CHAMEECE™超細纖維。</t>
        </is>
      </c>
    </row>
    <row r="210">
      <c r="A210" t="inlineStr"/>
      <c r="B210" t="inlineStr"/>
      <c r="C210" t="inlineStr">
        <is>
          <t>GLOVES</t>
        </is>
      </c>
      <c r="D210">
        <f>U210</f>
        <v/>
      </c>
      <c r="E210" t="n">
        <v>1118226</v>
      </c>
      <c r="F210" t="inlineStr">
        <is>
          <t>CHAMEECE FINGERLESS GLOVES MEN'S</t>
        </is>
      </c>
      <c r="G210" t="inlineStr">
        <is>
          <t>BGN      BK      GM-C      OG</t>
        </is>
      </c>
      <c r="H210" t="inlineStr">
        <is>
          <t>OG</t>
        </is>
      </c>
      <c r="I210">
        <f>VLOOKUP(H210,[1]尺寸簡表!$C$3:$D$1263,2,0)</f>
        <v/>
      </c>
      <c r="J210" t="n">
        <v>610</v>
      </c>
      <c r="K210" t="inlineStr">
        <is>
          <t>◎ 重量：16g。
◎ 使用薄手輕量又具高保溫性特性的CHAMEECE™超細纖維刷毛布料的保暖露趾手套。</t>
        </is>
      </c>
    </row>
    <row r="211">
      <c r="A211" t="inlineStr"/>
      <c r="B211" t="inlineStr"/>
      <c r="C211" t="inlineStr">
        <is>
          <t>GLOVES</t>
        </is>
      </c>
      <c r="D211">
        <f>U211</f>
        <v/>
      </c>
      <c r="E211" t="n">
        <v>1118227</v>
      </c>
      <c r="F211" t="inlineStr">
        <is>
          <t>CHAMEECE FINGERLESS GLOVES WOMEN'S</t>
        </is>
      </c>
      <c r="G211" t="inlineStr">
        <is>
          <t>CPK      GM-C      GY      YL25</t>
        </is>
      </c>
      <c r="H211" t="inlineStr">
        <is>
          <t>YL25</t>
        </is>
      </c>
      <c r="I211">
        <f>VLOOKUP(H211,[1]尺寸簡表!$C$3:$D$1263,2,0)</f>
        <v/>
      </c>
      <c r="J211" t="n">
        <v>610</v>
      </c>
      <c r="K211" t="inlineStr">
        <is>
          <t>◎ 重量：13g。
◎ 使用薄手輕量又具高保溫性特性的CHAMEECE™超細纖維刷毛布料的保暖露趾手套。</t>
        </is>
      </c>
    </row>
    <row r="212">
      <c r="A212" t="inlineStr"/>
      <c r="B212" t="inlineStr"/>
      <c r="C212" t="inlineStr">
        <is>
          <t>GLOVES</t>
        </is>
      </c>
      <c r="D212">
        <f>U212</f>
        <v/>
      </c>
      <c r="E212" t="n">
        <v>1118478</v>
      </c>
      <c r="F212" t="inlineStr">
        <is>
          <t>CHAMEECE GLOVES MEN'S</t>
        </is>
      </c>
      <c r="G212" t="inlineStr">
        <is>
          <t>BK      DGN      GM-C      GY      NV      OG</t>
        </is>
      </c>
      <c r="H212" t="inlineStr">
        <is>
          <t>DGN</t>
        </is>
      </c>
      <c r="I212">
        <f>VLOOKUP(H212,[1]尺寸簡表!$C$3:$D$1263,2,0)</f>
        <v/>
      </c>
      <c r="J212" t="n">
        <v>650</v>
      </c>
      <c r="K212" t="inlineStr">
        <is>
          <t>◎ 重量：26g。
◎ 使用薄手輕量又具高保溫性特性的CHAMEECE™超細纖維刷毛布料的保暖手套。具有可觸控螢幕功能。</t>
        </is>
      </c>
    </row>
    <row r="213">
      <c r="A213" t="inlineStr"/>
      <c r="B213" t="inlineStr"/>
      <c r="C213" t="inlineStr">
        <is>
          <t>GLOVES</t>
        </is>
      </c>
      <c r="D213">
        <f>U213</f>
        <v/>
      </c>
      <c r="E213" t="n">
        <v>1118479</v>
      </c>
      <c r="F213" t="inlineStr">
        <is>
          <t>CHAMEECE GLOVES WOMEN'S</t>
        </is>
      </c>
      <c r="G213" t="inlineStr">
        <is>
          <t>CPK      GM-C      GY      IV      LGY      YL</t>
        </is>
      </c>
      <c r="H213" t="inlineStr">
        <is>
          <t>CPK</t>
        </is>
      </c>
      <c r="I213">
        <f>VLOOKUP(H213,[1]尺寸簡表!$C$3:$D$1263,2,0)</f>
        <v/>
      </c>
      <c r="J213" t="n">
        <v>650</v>
      </c>
      <c r="K213" t="inlineStr">
        <is>
          <t>◎ 重量：21g。
◎ 使用薄手輕量又具高保溫性特性的CHAMEECE™超細纖維刷毛布料的保暖手套。具有可觸控螢幕功能。</t>
        </is>
      </c>
    </row>
    <row r="214">
      <c r="A214" t="inlineStr"/>
      <c r="B214" t="inlineStr"/>
      <c r="C214" t="inlineStr">
        <is>
          <t>GLOVES</t>
        </is>
      </c>
      <c r="D214">
        <f>U214</f>
        <v/>
      </c>
      <c r="E214" t="n">
        <v>1118228</v>
      </c>
      <c r="F214" t="inlineStr">
        <is>
          <t>CHAMEECE PALM WARMER</t>
        </is>
      </c>
      <c r="G214" t="inlineStr">
        <is>
          <t>BL      BRC      GM-C      IV      NV</t>
        </is>
      </c>
      <c r="H214" t="inlineStr">
        <is>
          <t>GM-C</t>
        </is>
      </c>
      <c r="I214">
        <f>VLOOKUP(H214,[1]尺寸簡表!$C$3:$D$1263,2,0)</f>
        <v/>
      </c>
      <c r="J214" t="n">
        <v>540</v>
      </c>
      <c r="K214" t="inlineStr">
        <is>
          <t>◎ 重量：103g。
◎ 使用薄手輕量又具高保溫性特性的CHAMEECE™超細纖維刷毛布料的保暖無指手套。</t>
        </is>
      </c>
    </row>
    <row r="215">
      <c r="A215" t="inlineStr"/>
      <c r="B215" t="inlineStr"/>
      <c r="C215" t="inlineStr">
        <is>
          <t>GLOVES</t>
        </is>
      </c>
      <c r="D215">
        <f>U215</f>
        <v/>
      </c>
      <c r="E215" t="n">
        <v>1118992</v>
      </c>
      <c r="F215" t="inlineStr">
        <is>
          <t>CLIMABARRIER GLOVES MEN'S</t>
        </is>
      </c>
      <c r="G215" t="inlineStr">
        <is>
          <t>BK      LGY      NV</t>
        </is>
      </c>
      <c r="H215" t="inlineStr">
        <is>
          <t>LGY</t>
        </is>
      </c>
      <c r="I215">
        <f>VLOOKUP(H215,[1]尺寸簡表!$C$3:$D$1263,2,0)</f>
        <v/>
      </c>
      <c r="J215" t="n">
        <v>1050</v>
      </c>
      <c r="K215" t="inlineStr">
        <is>
          <t>◎ 重量：74g。
◎ 材質：CLIMABARRIER® 防風透氣保暖材質，可觸控螢幕。</t>
        </is>
      </c>
    </row>
    <row r="216">
      <c r="A216" t="inlineStr"/>
      <c r="B216" t="inlineStr"/>
      <c r="C216" t="inlineStr">
        <is>
          <t>GLOVES</t>
        </is>
      </c>
      <c r="D216">
        <f>U216</f>
        <v/>
      </c>
      <c r="E216" t="n">
        <v>1118993</v>
      </c>
      <c r="F216" t="inlineStr">
        <is>
          <t>CLIMABARRIER GLOVES WOMEN'S</t>
        </is>
      </c>
      <c r="G216" t="inlineStr">
        <is>
          <t>BGN      BK      LGY</t>
        </is>
      </c>
      <c r="H216" t="inlineStr">
        <is>
          <t>BGN</t>
        </is>
      </c>
      <c r="I216">
        <f>VLOOKUP(H216,[1]尺寸簡表!$C$3:$D$1263,2,0)</f>
        <v/>
      </c>
      <c r="J216" t="n">
        <v>1050</v>
      </c>
      <c r="K216" t="inlineStr">
        <is>
          <t>◎ 重量：64g。
◎ 材質：CLIMABARRIER® 防風透氣保暖材質，可觸控螢幕。</t>
        </is>
      </c>
    </row>
    <row r="217">
      <c r="A217" t="inlineStr"/>
      <c r="B217" t="inlineStr"/>
      <c r="C217" t="inlineStr">
        <is>
          <t>GLOVES</t>
        </is>
      </c>
      <c r="D217">
        <f>U217</f>
        <v/>
      </c>
      <c r="E217" t="n">
        <v>1118988</v>
      </c>
      <c r="F217" t="inlineStr">
        <is>
          <t>CLIMABARRIER LIGHT GLOVES</t>
        </is>
      </c>
      <c r="G217" t="inlineStr">
        <is>
          <t>BK      YL</t>
        </is>
      </c>
      <c r="H217" t="inlineStr">
        <is>
          <t>YL</t>
        </is>
      </c>
      <c r="I217">
        <f>VLOOKUP(H217,[1]尺寸簡表!$C$3:$D$1263,2,0)</f>
        <v/>
      </c>
      <c r="J217" t="n">
        <v>1080</v>
      </c>
      <c r="K217" t="inlineStr">
        <is>
          <t>◎ 重量：34g。
◎ CLIMABARRIER®超輕量聚酯纖維，彈性佳、版型非常合手，穿戴時可操作觸控螢幕。</t>
        </is>
      </c>
    </row>
    <row r="218">
      <c r="A218" t="inlineStr"/>
      <c r="B218" t="inlineStr"/>
      <c r="C218" t="inlineStr">
        <is>
          <t>GLOVES</t>
        </is>
      </c>
      <c r="D218">
        <f>U218</f>
        <v/>
      </c>
      <c r="E218" t="n">
        <v>1119213</v>
      </c>
      <c r="F218" t="inlineStr">
        <is>
          <t>CLIMABARRIER THERMAL FINGERLESS GLOVES MEN'S</t>
        </is>
      </c>
      <c r="G218" t="inlineStr">
        <is>
          <t>BK      NV</t>
        </is>
      </c>
      <c r="H218" t="inlineStr">
        <is>
          <t>NV</t>
        </is>
      </c>
      <c r="I218">
        <f>VLOOKUP(H218,[1]尺寸簡表!$C$3:$D$1263,2,0)</f>
        <v/>
      </c>
      <c r="J218" t="n">
        <v>1050</v>
      </c>
      <c r="K218" t="inlineStr">
        <is>
          <t>◎ 材質：CLIMA BARRIER®（聚酯纖維）。防風、透氣，適合寒冷的天氣。
◎ 大拇指和食指的開口設計，可觸控螢幕功能。</t>
        </is>
      </c>
    </row>
    <row r="219">
      <c r="A219" t="inlineStr"/>
      <c r="B219" t="inlineStr"/>
      <c r="C219" t="inlineStr">
        <is>
          <t>GLOVES</t>
        </is>
      </c>
      <c r="D219">
        <f>U219</f>
        <v/>
      </c>
      <c r="E219" t="n">
        <v>1119214</v>
      </c>
      <c r="F219" t="inlineStr">
        <is>
          <t>CLIMABARRIER THERMAL FINGERLESS GLOVES WOMEN'S</t>
        </is>
      </c>
      <c r="G219" t="inlineStr">
        <is>
          <t>IV      NV</t>
        </is>
      </c>
      <c r="H219" t="inlineStr">
        <is>
          <t>IV</t>
        </is>
      </c>
      <c r="I219">
        <f>VLOOKUP(H219,[1]尺寸簡表!$C$3:$D$1263,2,0)</f>
        <v/>
      </c>
      <c r="J219" t="n">
        <v>1050</v>
      </c>
      <c r="K219" t="inlineStr">
        <is>
          <t>◎ 材質：CLIMA BARRIER®（聚酯纖維）。防風、透氣，適合寒冷的天氣。
◎ 大拇指和食指的開口設計，可觸控螢幕功能。</t>
        </is>
      </c>
    </row>
    <row r="220">
      <c r="A220" t="inlineStr"/>
      <c r="B220" t="inlineStr"/>
      <c r="C220" t="inlineStr">
        <is>
          <t>GLOVES</t>
        </is>
      </c>
      <c r="D220">
        <f>U220</f>
        <v/>
      </c>
      <c r="E220" t="n">
        <v>1118989</v>
      </c>
      <c r="F220" t="inlineStr">
        <is>
          <t>CLIMABARRIER THERMAL GLOVES MEN'S</t>
        </is>
      </c>
      <c r="G220" t="inlineStr">
        <is>
          <t>BK      NV</t>
        </is>
      </c>
      <c r="H220" t="inlineStr">
        <is>
          <t>NV</t>
        </is>
      </c>
      <c r="I220">
        <f>VLOOKUP(H220,[1]尺寸簡表!$C$3:$D$1263,2,0)</f>
        <v/>
      </c>
      <c r="J220" t="n">
        <v>1050</v>
      </c>
      <c r="K220" t="inlineStr">
        <is>
          <t>◎ 材質：CLIMABARRIER®（聚酯纖維）。
◎ 防風、透氣、保暖、有彈性，配戴舒適且靈活。手指可觸控螢幕，適合日常使用與戶外健行。</t>
        </is>
      </c>
    </row>
    <row r="221">
      <c r="A221" t="inlineStr"/>
      <c r="B221" t="inlineStr"/>
      <c r="C221" t="inlineStr">
        <is>
          <t>GLOVES</t>
        </is>
      </c>
      <c r="D221">
        <f>U221</f>
        <v/>
      </c>
      <c r="E221" t="n">
        <v>1118990</v>
      </c>
      <c r="F221" t="inlineStr">
        <is>
          <t>CLIMABARRIER THERMAL GLOVES WOMEN'S</t>
        </is>
      </c>
      <c r="G221" t="inlineStr">
        <is>
          <t>IV      NV</t>
        </is>
      </c>
      <c r="H221" t="inlineStr">
        <is>
          <t>IV</t>
        </is>
      </c>
      <c r="I221">
        <f>VLOOKUP(H221,[1]尺寸簡表!$C$3:$D$1263,2,0)</f>
        <v/>
      </c>
      <c r="J221" t="n">
        <v>1050</v>
      </c>
      <c r="K221" t="inlineStr">
        <is>
          <t>◎ 材質：CLIMABARRIER®（聚酯纖維）。
◎ 防風、透氣、保暖、有彈性，配戴舒適且靈活。手指可觸控螢幕，適合日常使用與戶外健行。</t>
        </is>
      </c>
    </row>
    <row r="222">
      <c r="A222" t="inlineStr"/>
      <c r="B222" t="inlineStr"/>
      <c r="C222" t="inlineStr">
        <is>
          <t>GLOVES</t>
        </is>
      </c>
      <c r="D222">
        <f>U222</f>
        <v/>
      </c>
      <c r="E222" t="n">
        <v>1118991</v>
      </c>
      <c r="F222" t="inlineStr">
        <is>
          <t>CLIMABARRIER THERMAL MITTENS</t>
        </is>
      </c>
      <c r="G222" t="inlineStr">
        <is>
          <t>BK      IV</t>
        </is>
      </c>
      <c r="H222" t="inlineStr">
        <is>
          <t>IV</t>
        </is>
      </c>
      <c r="I222">
        <f>VLOOKUP(H222,[1]尺寸簡表!$C$3:$D$1263,2,0)</f>
        <v/>
      </c>
      <c r="J222" t="n">
        <v>950</v>
      </c>
      <c r="K222" t="inlineStr">
        <is>
          <t>◎ 材質：CLIMABARRIER®（聚酯纖維）。
◎ 防風、透氣、保暖、有彈性，配戴舒適，適合日常使用與戶外健行。</t>
        </is>
      </c>
    </row>
    <row r="223">
      <c r="A223" t="inlineStr"/>
      <c r="B223" t="inlineStr"/>
      <c r="C223" t="inlineStr">
        <is>
          <t>GLOVES</t>
        </is>
      </c>
      <c r="D223">
        <f>U223</f>
        <v/>
      </c>
      <c r="E223" t="n">
        <v>1118985</v>
      </c>
      <c r="F223" t="inlineStr">
        <is>
          <t>CLIMABARRIER TREKKING GLOVES MEN'S</t>
        </is>
      </c>
      <c r="G223" t="inlineStr">
        <is>
          <t>BK      NV      OG</t>
        </is>
      </c>
      <c r="H223" t="inlineStr">
        <is>
          <t>OG</t>
        </is>
      </c>
      <c r="I223">
        <f>VLOOKUP(H223,[1]尺寸簡表!$C$3:$D$1263,2,0)</f>
        <v/>
      </c>
      <c r="J223" t="n">
        <v>1340</v>
      </c>
      <c r="K223" t="inlineStr">
        <is>
          <t>◎ 材質：CLIMABARRIER® 超輕量聚酯纖維，具有彈性，內裡刷毛（中厚手）。
◎ 大拇指及食指特殊加工，穿戴時可操作觸控螢幕。</t>
        </is>
      </c>
    </row>
    <row r="224">
      <c r="A224" t="inlineStr"/>
      <c r="B224" t="inlineStr"/>
      <c r="C224" t="inlineStr">
        <is>
          <t>GLOVES</t>
        </is>
      </c>
      <c r="D224">
        <f>U224</f>
        <v/>
      </c>
      <c r="E224" t="n">
        <v>1118986</v>
      </c>
      <c r="F224" t="inlineStr">
        <is>
          <t>CLIMABARRIER TREKKING GLOVES WOMEN'S</t>
        </is>
      </c>
      <c r="G224" t="inlineStr">
        <is>
          <t>BGN      BK      LGY</t>
        </is>
      </c>
      <c r="H224" t="inlineStr">
        <is>
          <t>LGY</t>
        </is>
      </c>
      <c r="I224">
        <f>VLOOKUP(H224,[1]尺寸簡表!$C$3:$D$1263,2,0)</f>
        <v/>
      </c>
      <c r="J224" t="n">
        <v>1340</v>
      </c>
      <c r="K224" t="inlineStr">
        <is>
          <t>◎ 材質：CLIMABARRIER® 超輕量聚酯纖維，具有彈性，內裡刷毛（中厚手）。
◎ 大拇指及食指特殊加工，穿戴時可操作觸控螢幕。</t>
        </is>
      </c>
    </row>
    <row r="225">
      <c r="A225" t="inlineStr"/>
      <c r="B225" t="inlineStr"/>
      <c r="C225" t="inlineStr">
        <is>
          <t>GLOVES</t>
        </is>
      </c>
      <c r="D225">
        <f>U225</f>
        <v/>
      </c>
      <c r="E225" t="n">
        <v>1118987</v>
      </c>
      <c r="F225" t="inlineStr">
        <is>
          <t>CLIMABARRIER TREKKING MITTENS</t>
        </is>
      </c>
      <c r="G225" t="inlineStr">
        <is>
          <t>BK      LGY</t>
        </is>
      </c>
      <c r="H225" t="inlineStr">
        <is>
          <t>LGY</t>
        </is>
      </c>
      <c r="I225">
        <f>VLOOKUP(H225,[1]尺寸簡表!$C$3:$D$1263,2,0)</f>
        <v/>
      </c>
      <c r="J225" t="n">
        <v>1300</v>
      </c>
      <c r="K225" t="inlineStr">
        <is>
          <t>◎ 材質：CLIMABARRIER® 超輕量聚酯纖維，具有彈性，內裡刷毛（中厚手）。</t>
        </is>
      </c>
    </row>
    <row r="226">
      <c r="A226" t="inlineStr"/>
      <c r="B226" t="inlineStr"/>
      <c r="C226" t="inlineStr">
        <is>
          <t>GLOVES</t>
        </is>
      </c>
      <c r="D226">
        <f>U226</f>
        <v/>
      </c>
      <c r="E226" t="n">
        <v>1118983</v>
      </c>
      <c r="F226" t="inlineStr">
        <is>
          <t>CLIMABARRIER TREKKING THERMAL GLOVES MEN'S</t>
        </is>
      </c>
      <c r="G226" t="inlineStr">
        <is>
          <t>BK      NV</t>
        </is>
      </c>
      <c r="H226" t="inlineStr">
        <is>
          <t>NV</t>
        </is>
      </c>
      <c r="I226">
        <f>VLOOKUP(H226,[1]尺寸簡表!$C$3:$D$1263,2,0)</f>
        <v/>
      </c>
      <c r="J226" t="n">
        <v>1370</v>
      </c>
      <c r="K226" t="inlineStr">
        <is>
          <t>◎ 材質：CLIMABARRIER®超輕量聚酯纖維，防風、高透氣、撥水；手掌、指尖：具止滑功能，可操作觸控式螢幕。</t>
        </is>
      </c>
    </row>
    <row r="227">
      <c r="A227" t="inlineStr"/>
      <c r="B227" t="inlineStr"/>
      <c r="C227" t="inlineStr">
        <is>
          <t>GLOVES</t>
        </is>
      </c>
      <c r="D227">
        <f>U227</f>
        <v/>
      </c>
      <c r="E227" t="n">
        <v>1118984</v>
      </c>
      <c r="F227" t="inlineStr">
        <is>
          <t>CLIMABARRIER TREKKING THERMAL GLOVES WOMEN'S</t>
        </is>
      </c>
      <c r="G227" t="inlineStr">
        <is>
          <t>BK      IV</t>
        </is>
      </c>
      <c r="H227" t="inlineStr">
        <is>
          <t>IV</t>
        </is>
      </c>
      <c r="I227">
        <f>VLOOKUP(H227,[1]尺寸簡表!$C$3:$D$1263,2,0)</f>
        <v/>
      </c>
      <c r="J227" t="n">
        <v>1370</v>
      </c>
      <c r="K227" t="inlineStr">
        <is>
          <t>◎ 材質：CLIMABARRIER®超輕量聚酯纖維，防風、高透氣、撥水；手掌、指尖：具止滑功能，可操作觸控式螢幕。</t>
        </is>
      </c>
    </row>
    <row r="228">
      <c r="A228" t="inlineStr"/>
      <c r="B228" t="inlineStr"/>
      <c r="C228" t="inlineStr">
        <is>
          <t>GLOVES</t>
        </is>
      </c>
      <c r="D228">
        <f>U228</f>
        <v/>
      </c>
      <c r="E228" t="n">
        <v>1118720</v>
      </c>
      <c r="F228" t="inlineStr">
        <is>
          <t>CLIMAPLUS 100 GLOVES</t>
        </is>
      </c>
      <c r="G228" t="inlineStr">
        <is>
          <t>BGN      BK      DBN      IV      RD</t>
        </is>
      </c>
      <c r="H228" t="inlineStr">
        <is>
          <t>DBN</t>
        </is>
      </c>
      <c r="I228">
        <f>VLOOKUP(H228,[1]尺寸簡表!$C$3:$D$1263,2,0)</f>
        <v/>
      </c>
      <c r="J228" t="n">
        <v>810</v>
      </c>
      <c r="K228" t="inlineStr">
        <is>
          <t>◎ 材質：CLIMAPLUS®100（聚酯纖維）。
◎ 中厚手，保暖性高、具良好伸縮性，可當作登山健行時的內層手套，也適合旅遊或日常單獨使用，支援觸控螢幕操作、男女兼用。</t>
        </is>
      </c>
    </row>
    <row r="229">
      <c r="A229" t="inlineStr"/>
      <c r="B229" t="inlineStr"/>
      <c r="C229" t="inlineStr">
        <is>
          <t>GLOVES</t>
        </is>
      </c>
      <c r="D229">
        <f>U229</f>
        <v/>
      </c>
      <c r="E229" t="n">
        <v>1108895</v>
      </c>
      <c r="F229" t="inlineStr">
        <is>
          <t>CLIMAPLUS 200 MITTENS</t>
        </is>
      </c>
      <c r="G229" t="inlineStr">
        <is>
          <t>HCH      NV      OTML</t>
        </is>
      </c>
      <c r="H229" t="inlineStr">
        <is>
          <t>NV</t>
        </is>
      </c>
      <c r="I229">
        <f>VLOOKUP(H229,[1]尺寸簡表!$C$3:$D$1263,2,0)</f>
        <v/>
      </c>
      <c r="J229" t="n">
        <v>800</v>
      </c>
      <c r="K229" t="inlineStr">
        <is>
          <t>◎ 材質：CLIMAPLUS®200（聚酯纖維100%）。
◎ 只要移除指尖的保暖層即可露出手指進行較細緻的動作。</t>
        </is>
      </c>
    </row>
    <row r="230">
      <c r="A230" t="inlineStr"/>
      <c r="B230" t="inlineStr"/>
      <c r="C230" t="inlineStr">
        <is>
          <t>GLOVES</t>
        </is>
      </c>
      <c r="D230">
        <f>U230</f>
        <v/>
      </c>
      <c r="E230" t="n">
        <v>1118546</v>
      </c>
      <c r="F230" t="inlineStr">
        <is>
          <t>CLIMAPLUS KNIT GLOVES MEN'S</t>
        </is>
      </c>
      <c r="G230" t="inlineStr">
        <is>
          <t>DKCH      DKNV</t>
        </is>
      </c>
      <c r="H230" t="inlineStr">
        <is>
          <t>DKCH</t>
        </is>
      </c>
      <c r="I230">
        <f>VLOOKUP(H230,[1]尺寸簡表!$C$3:$D$1263,2,0)</f>
        <v/>
      </c>
      <c r="J230" t="n">
        <v>970</v>
      </c>
      <c r="K230" t="inlineStr">
        <is>
          <t>◎ 材質：CLIMAPLUS（聚酯纖維100%）。
◎ 中厚手，可觸控螢幕。</t>
        </is>
      </c>
    </row>
    <row r="231">
      <c r="A231" t="inlineStr"/>
      <c r="B231" t="inlineStr"/>
      <c r="C231" t="inlineStr">
        <is>
          <t>GLOVES</t>
        </is>
      </c>
      <c r="D231">
        <f>U231</f>
        <v/>
      </c>
      <c r="E231" t="n">
        <v>1118547</v>
      </c>
      <c r="F231" t="inlineStr">
        <is>
          <t>CLIMAPLUS KNIT GLOVES WOMEN'S</t>
        </is>
      </c>
      <c r="G231" t="inlineStr">
        <is>
          <t>DRD      IV</t>
        </is>
      </c>
      <c r="H231" t="inlineStr">
        <is>
          <t>DRD</t>
        </is>
      </c>
      <c r="I231">
        <f>VLOOKUP(H231,[1]尺寸簡表!$C$3:$D$1263,2,0)</f>
        <v/>
      </c>
      <c r="J231" t="n">
        <v>970</v>
      </c>
      <c r="K231" t="inlineStr">
        <is>
          <t>◎ 材質：CLIMAPLUS（聚酯纖維100%）。
◎ 中厚手，可觸控螢幕。</t>
        </is>
      </c>
    </row>
    <row r="232">
      <c r="A232" t="inlineStr"/>
      <c r="B232" t="inlineStr"/>
      <c r="C232" t="inlineStr">
        <is>
          <t>GLOVES</t>
        </is>
      </c>
      <c r="D232">
        <f>U232</f>
        <v/>
      </c>
      <c r="E232" t="n">
        <v>1118718</v>
      </c>
      <c r="F232" t="inlineStr">
        <is>
          <t>CLIMAPRO 200 GLOVES MEN'S</t>
        </is>
      </c>
      <c r="G232" t="inlineStr">
        <is>
          <t>BK      DGY      NV</t>
        </is>
      </c>
      <c r="H232" t="inlineStr">
        <is>
          <t>DGY</t>
        </is>
      </c>
      <c r="I232">
        <f>VLOOKUP(H232,[1]尺寸簡表!$C$3:$D$1263,2,0)</f>
        <v/>
      </c>
      <c r="J232" t="n">
        <v>1230</v>
      </c>
      <c r="K232" t="inlineStr">
        <is>
          <t>◎ 材質：CLIMAPRO®200（尼龍）。
◎ 中厚手，優異的防風性與適度透氣性，內層刷毛提升保暖效果。根據手指自然彎曲設計的立體剪裁，袖口採用彈性材質，支援觸控螢幕操作。</t>
        </is>
      </c>
    </row>
    <row r="233">
      <c r="A233" t="inlineStr"/>
      <c r="B233" t="inlineStr"/>
      <c r="C233" t="inlineStr">
        <is>
          <t>GLOVES</t>
        </is>
      </c>
      <c r="D233">
        <f>U233</f>
        <v/>
      </c>
      <c r="E233" t="n">
        <v>1118719</v>
      </c>
      <c r="F233" t="inlineStr">
        <is>
          <t>CLIMAPRO 200 GLOVES WOMEN'S</t>
        </is>
      </c>
      <c r="G233" t="inlineStr">
        <is>
          <t>BK      NV</t>
        </is>
      </c>
      <c r="H233" t="inlineStr">
        <is>
          <t>NV</t>
        </is>
      </c>
      <c r="I233">
        <f>VLOOKUP(H233,[1]尺寸簡表!$C$3:$D$1263,2,0)</f>
        <v/>
      </c>
      <c r="J233" t="n">
        <v>1230</v>
      </c>
      <c r="K233" t="inlineStr">
        <is>
          <t>◎ 材質：CLIMAPRO®200（尼龍）。
◎ 中厚手，優異的防風性與適度透氣性，內層刷毛提升保暖效果。根據手指自然彎曲設計的立體剪裁，袖口採用彈性材質，支援觸控螢幕操作。</t>
        </is>
      </c>
    </row>
    <row r="234">
      <c r="A234" t="inlineStr"/>
      <c r="B234" t="inlineStr"/>
      <c r="C234" t="inlineStr">
        <is>
          <t>GLOVES</t>
        </is>
      </c>
      <c r="D234">
        <f>U234</f>
        <v/>
      </c>
      <c r="E234" t="n">
        <v>1119170</v>
      </c>
      <c r="F234" t="inlineStr">
        <is>
          <t>DRY-TEC RAIN GLOVES</t>
        </is>
      </c>
      <c r="G234" t="inlineStr">
        <is>
          <t>DGY      NV      WRD</t>
        </is>
      </c>
      <c r="H234" t="inlineStr">
        <is>
          <t>WRD</t>
        </is>
      </c>
      <c r="I234">
        <f>VLOOKUP(H234,[1]尺寸簡表!$C$3:$D$1263,2,0)</f>
        <v/>
      </c>
      <c r="J234" t="n">
        <v>2500</v>
      </c>
      <c r="K234" t="inlineStr">
        <is>
          <t>◎ 防水(有貼條)單層手套(薄手)。表布：50D抗撕裂尼龍，(SUPER) DRYTEC®3L(耐水壓20,000mm+，透氣度50,000g/㎡)，手掌為合成皮革，可觸控螢幕。</t>
        </is>
      </c>
    </row>
    <row r="235">
      <c r="A235" t="inlineStr"/>
      <c r="B235" t="inlineStr"/>
      <c r="C235" t="inlineStr">
        <is>
          <t>GLOVES</t>
        </is>
      </c>
      <c r="D235">
        <f>U235</f>
        <v/>
      </c>
      <c r="E235" t="n">
        <v>1118709</v>
      </c>
      <c r="F235" t="inlineStr">
        <is>
          <t>LIGHT WINTER TREKKING GLOVES MEN'S</t>
        </is>
      </c>
      <c r="G235" t="inlineStr">
        <is>
          <t>BK      LGY      NV</t>
        </is>
      </c>
      <c r="H235" t="inlineStr">
        <is>
          <t>LGY</t>
        </is>
      </c>
      <c r="I235">
        <f>VLOOKUP(H235,[1]尺寸簡表!$C$3:$D$1263,2,0)</f>
        <v/>
      </c>
      <c r="J235" t="n">
        <v>1360</v>
      </c>
      <c r="K235" t="inlineStr">
        <is>
          <t>◎ 材質：40D抗撕裂尼龍布，內裡（中厚手）填充EXCELOFT®專利中空纖維具保暖功能。
◎ 大拇指及食指特殊加工，穿戴時可操作觸控螢幕。</t>
        </is>
      </c>
    </row>
    <row r="236">
      <c r="A236" t="inlineStr"/>
      <c r="B236" t="inlineStr"/>
      <c r="C236" t="inlineStr">
        <is>
          <t>GLOVES</t>
        </is>
      </c>
      <c r="D236">
        <f>U236</f>
        <v/>
      </c>
      <c r="E236" t="n">
        <v>1118710</v>
      </c>
      <c r="F236" t="inlineStr">
        <is>
          <t>LIGHT WINTER TREKKING GLOVES WOMEN'S</t>
        </is>
      </c>
      <c r="G236" t="inlineStr">
        <is>
          <t>DGY      IV      PU</t>
        </is>
      </c>
      <c r="I236">
        <f>VLOOKUP(H236,[1]尺寸簡表!$C$3:$D$1263,2,0)</f>
        <v/>
      </c>
      <c r="J236" t="n">
        <v>1360</v>
      </c>
      <c r="K236" t="inlineStr">
        <is>
          <t>◎ 重量：55g。材質：40D抗撕裂尼龍布，內裡（中厚手）填充EXCELOFT®專利中空纖維具保暖功能。
◎ 大拇指及食指特殊加工，穿戴時可操作觸控螢幕。</t>
        </is>
      </c>
    </row>
    <row r="237">
      <c r="A237" t="inlineStr"/>
      <c r="B237" t="inlineStr"/>
      <c r="C237" t="inlineStr">
        <is>
          <t>GLOVES</t>
        </is>
      </c>
      <c r="D237">
        <f>U237</f>
        <v/>
      </c>
      <c r="E237" t="n">
        <v>1118628</v>
      </c>
      <c r="F237" t="inlineStr">
        <is>
          <t>MERINO WOOL GLOVES TOUCH</t>
        </is>
      </c>
      <c r="G237" t="inlineStr">
        <is>
          <t>BK      GARN      RBL</t>
        </is>
      </c>
      <c r="H237" t="inlineStr">
        <is>
          <t>GARN</t>
        </is>
      </c>
      <c r="I237">
        <f>VLOOKUP(H237,[1]尺寸簡表!$C$3:$D$1263,2,0)</f>
        <v/>
      </c>
      <c r="J237" t="n">
        <v>720</v>
      </c>
      <c r="K237" t="inlineStr">
        <is>
          <t>◎ 材質：羊毛 67%＋聚酯纖維 26%＋壓克力 4%＋聚氨酯 3%
◎ 手感柔滑的薄手羊毛，高彈性且符合手形的立體編織，實現優異貼合與舒適配戴感，適合作為內層手套使用，支援觸控螢幕操作。</t>
        </is>
      </c>
    </row>
    <row r="238">
      <c r="A238" t="inlineStr"/>
      <c r="B238" t="inlineStr"/>
      <c r="C238" t="inlineStr">
        <is>
          <t>GLOVES</t>
        </is>
      </c>
      <c r="D238">
        <f>U238</f>
        <v/>
      </c>
      <c r="E238" t="n">
        <v>1118850</v>
      </c>
      <c r="F238" t="inlineStr">
        <is>
          <t>POWDER LIGHT GLOVES MEN'S</t>
        </is>
      </c>
      <c r="G238" t="inlineStr">
        <is>
          <t>BK      NV</t>
        </is>
      </c>
      <c r="H238" t="inlineStr">
        <is>
          <t>NV</t>
        </is>
      </c>
      <c r="I238">
        <f>VLOOKUP(H238,[1]尺寸簡表!$C$3:$D$1263,2,0)</f>
        <v/>
      </c>
      <c r="J238" t="n">
        <v>2450</v>
      </c>
      <c r="K238" t="inlineStr">
        <is>
          <t>◎ 防水中厚手手套。主體：75D聚酯纖維、手掌：DURA-GRIP®耐磨材質、內裡：CHAMEECE™保暖層。</t>
        </is>
      </c>
    </row>
    <row r="239">
      <c r="A239" t="inlineStr"/>
      <c r="B239" t="inlineStr"/>
      <c r="C239" t="inlineStr">
        <is>
          <t>GLOVES</t>
        </is>
      </c>
      <c r="D239">
        <f>U239</f>
        <v/>
      </c>
      <c r="E239" t="n">
        <v>1118851</v>
      </c>
      <c r="F239" t="inlineStr">
        <is>
          <t>POWDER LIGHT GLOVES WOMEN'S</t>
        </is>
      </c>
      <c r="G239" t="inlineStr">
        <is>
          <t>BK      LGY</t>
        </is>
      </c>
      <c r="H239" t="inlineStr">
        <is>
          <t>LGY</t>
        </is>
      </c>
      <c r="I239">
        <f>VLOOKUP(H239,[1]尺寸簡表!$C$3:$D$1263,2,0)</f>
        <v/>
      </c>
      <c r="J239" t="n">
        <v>2450</v>
      </c>
      <c r="K239" t="inlineStr">
        <is>
          <t>◎ 防水中厚手手套。主體：75D聚酯纖維、手掌：DURA-GRIP®耐磨材質、內裡：CHAMEECE™保暖層。</t>
        </is>
      </c>
    </row>
    <row r="240">
      <c r="A240" t="inlineStr"/>
      <c r="B240" t="inlineStr"/>
      <c r="C240" t="inlineStr">
        <is>
          <t>GLOVES</t>
        </is>
      </c>
      <c r="D240">
        <f>U240</f>
        <v/>
      </c>
      <c r="E240" t="n">
        <v>1118607</v>
      </c>
      <c r="F240" t="inlineStr">
        <is>
          <t>THUNDER PASS GLOVES MEN'S</t>
        </is>
      </c>
      <c r="G240" t="inlineStr">
        <is>
          <t>BK      NV</t>
        </is>
      </c>
      <c r="H240" t="inlineStr">
        <is>
          <t>NV</t>
        </is>
      </c>
      <c r="I240">
        <f>VLOOKUP(H240,[1]尺寸簡表!$C$3:$D$1263,2,0)</f>
        <v/>
      </c>
      <c r="J240" t="n">
        <v>1260</v>
      </c>
      <c r="K240" t="inlineStr">
        <is>
          <t>◎ 表布：50D抗撕裂尼龍，DRYTEC®3L(耐水壓20,000mm，透氣度15,000g/m²)，手掌為合成皮革。撥水單層手套(薄手)，可觸控螢幕。</t>
        </is>
      </c>
    </row>
    <row r="241">
      <c r="A241" t="inlineStr"/>
      <c r="B241" t="inlineStr"/>
      <c r="C241" t="inlineStr">
        <is>
          <t>GLOVES</t>
        </is>
      </c>
      <c r="D241">
        <f>U241</f>
        <v/>
      </c>
      <c r="E241" t="n">
        <v>1118608</v>
      </c>
      <c r="F241" t="inlineStr">
        <is>
          <t>THUNDER PASS GLOVES WOMEN'S</t>
        </is>
      </c>
      <c r="G241" t="inlineStr">
        <is>
          <t>DGY      LBL</t>
        </is>
      </c>
      <c r="H241" t="inlineStr">
        <is>
          <t>LBL</t>
        </is>
      </c>
      <c r="I241">
        <f>VLOOKUP(H241,[1]尺寸簡表!$C$3:$D$1263,2,0)</f>
        <v/>
      </c>
      <c r="J241" t="n">
        <v>1180</v>
      </c>
      <c r="K241" t="inlineStr">
        <is>
          <t>◎ 表布：50D抗撕裂尼龍，DRYTEC®3L(耐水壓20,000mm，透氣度15,000g/m²)，手掌為合成皮革。撥水單層手套(薄手)，可觸控螢幕。</t>
        </is>
      </c>
    </row>
    <row r="242">
      <c r="A242" t="inlineStr"/>
      <c r="B242" t="inlineStr"/>
      <c r="C242" t="inlineStr">
        <is>
          <t>GLOVES</t>
        </is>
      </c>
      <c r="D242">
        <f>U242</f>
        <v/>
      </c>
      <c r="E242" t="n">
        <v>1118269</v>
      </c>
      <c r="F242" t="inlineStr">
        <is>
          <t>TRAIL ACTION GLOVES MEN'S</t>
        </is>
      </c>
      <c r="G242" t="inlineStr">
        <is>
          <t>BK      BLBK      RD</t>
        </is>
      </c>
      <c r="H242" t="inlineStr">
        <is>
          <t>BLBK</t>
        </is>
      </c>
      <c r="I242">
        <f>VLOOKUP(H242,[1]尺寸簡表!$C$3:$D$1263,2,0)</f>
        <v/>
      </c>
      <c r="J242" t="n">
        <v>980</v>
      </c>
      <c r="K242" t="inlineStr">
        <is>
          <t>◎ 使用STRETCH CLIMAPLUS®布料（中厚手，尼龍47%+聚酯纖維36%+聚氨酯17%）：具有彈性、快乾、透氣、保暖的特性。
◎ 指尖和手掌有防滑處理。可操作觸控式螢幕。</t>
        </is>
      </c>
    </row>
    <row r="243">
      <c r="A243" t="inlineStr"/>
      <c r="B243" t="inlineStr"/>
      <c r="C243" t="inlineStr">
        <is>
          <t>GLOVES</t>
        </is>
      </c>
      <c r="D243">
        <f>U243</f>
        <v/>
      </c>
      <c r="E243" t="n">
        <v>1118270</v>
      </c>
      <c r="F243" t="inlineStr">
        <is>
          <t>TRAIL ACTION GLOVES WOMEN'S</t>
        </is>
      </c>
      <c r="G243" t="inlineStr">
        <is>
          <t>BK      LGY      WRD</t>
        </is>
      </c>
      <c r="H243" t="inlineStr">
        <is>
          <t>WRD</t>
        </is>
      </c>
      <c r="I243">
        <f>VLOOKUP(H243,[1]尺寸簡表!$C$3:$D$1263,2,0)</f>
        <v/>
      </c>
      <c r="J243" t="n">
        <v>980</v>
      </c>
      <c r="K243" t="inlineStr">
        <is>
          <t>◎ 使用STRETCH CLIMAPLUS®布料（中厚手，尼龍47%+聚酯纖維36%+聚氨酯17%）：具有彈性、快乾、透氣、保暖的特性。
◎ 指尖和手掌有防滑處理。可操作觸控式螢幕。</t>
        </is>
      </c>
    </row>
    <row r="244">
      <c r="A244" t="inlineStr"/>
      <c r="B244" t="inlineStr"/>
      <c r="C244" t="inlineStr">
        <is>
          <t>GLOVES</t>
        </is>
      </c>
      <c r="D244">
        <f>U244</f>
        <v/>
      </c>
      <c r="E244" t="n">
        <v>1119173</v>
      </c>
      <c r="F244" t="inlineStr">
        <is>
          <t>TREKKING FINGERLESS GLOVES MEN'S</t>
        </is>
      </c>
      <c r="G244" t="inlineStr">
        <is>
          <t>BGN      BK</t>
        </is>
      </c>
      <c r="H244" t="inlineStr">
        <is>
          <t>BGN</t>
        </is>
      </c>
      <c r="I244">
        <f>VLOOKUP(H244,[1]尺寸簡表!$C$3:$D$1263,2,0)</f>
        <v/>
      </c>
      <c r="J244" t="n">
        <v>1360</v>
      </c>
      <c r="K244" t="inlineStr">
        <is>
          <t>◎ 手掌/ 山羊皮(防水/可清洗)，手背 :  聚酯網布。露指型手套。</t>
        </is>
      </c>
    </row>
    <row r="245">
      <c r="A245" t="inlineStr"/>
      <c r="B245" t="inlineStr"/>
      <c r="C245" t="inlineStr">
        <is>
          <t>GLOVES</t>
        </is>
      </c>
      <c r="D245">
        <f>U245</f>
        <v/>
      </c>
      <c r="E245" t="n">
        <v>1119174</v>
      </c>
      <c r="F245" t="inlineStr">
        <is>
          <t>TREKKING FINGERLESS GLOVES WOMEN'S</t>
        </is>
      </c>
      <c r="G245" t="inlineStr">
        <is>
          <t>BK      LBL</t>
        </is>
      </c>
      <c r="I245">
        <f>VLOOKUP(H245,[1]尺寸簡表!$C$3:$D$1263,2,0)</f>
        <v/>
      </c>
      <c r="J245" t="n">
        <v>1360</v>
      </c>
      <c r="K245" t="inlineStr">
        <is>
          <t>◎ 手掌/ 山羊皮(防水/可清洗)，手背 :  聚酯網布。露指型手套。</t>
        </is>
      </c>
    </row>
    <row r="246">
      <c r="A246" t="inlineStr"/>
      <c r="B246" t="inlineStr"/>
      <c r="C246" t="inlineStr">
        <is>
          <t>GLOVES</t>
        </is>
      </c>
      <c r="D246">
        <f>U246</f>
        <v/>
      </c>
      <c r="E246" t="n">
        <v>1119171</v>
      </c>
      <c r="F246" t="inlineStr">
        <is>
          <t>TREKKING GLOVES MEN'S</t>
        </is>
      </c>
      <c r="G246" t="inlineStr">
        <is>
          <t>BGN      BK</t>
        </is>
      </c>
      <c r="H246" t="inlineStr">
        <is>
          <t>BGN</t>
        </is>
      </c>
      <c r="I246">
        <f>VLOOKUP(H246,[1]尺寸簡表!$C$3:$D$1263,2,0)</f>
        <v/>
      </c>
      <c r="J246" t="n">
        <v>1600</v>
      </c>
      <c r="K246" t="inlineStr">
        <is>
          <t>◎ 手掌：山羊皮。手背：網眼透氣布。
◎ 多用途手套，手掌完美貼合物品，手背透氣材質可保持透氣舒適，可操作觸控式螢幕。</t>
        </is>
      </c>
    </row>
    <row r="247">
      <c r="A247" t="inlineStr"/>
      <c r="B247" t="inlineStr"/>
      <c r="C247" t="inlineStr">
        <is>
          <t>GLOVES</t>
        </is>
      </c>
      <c r="D247">
        <f>U247</f>
        <v/>
      </c>
      <c r="E247" t="n">
        <v>1119172</v>
      </c>
      <c r="F247" t="inlineStr">
        <is>
          <t>TREKKING GLOVES WOMEN'S</t>
        </is>
      </c>
      <c r="G247" t="inlineStr">
        <is>
          <t>BK      LBL</t>
        </is>
      </c>
      <c r="H247" t="inlineStr">
        <is>
          <t>LBL</t>
        </is>
      </c>
      <c r="I247">
        <f>VLOOKUP(H247,[1]尺寸簡表!$C$3:$D$1263,2,0)</f>
        <v/>
      </c>
      <c r="J247" t="n">
        <v>1600</v>
      </c>
      <c r="K247" t="inlineStr">
        <is>
          <t>◎ 手掌：山羊皮。手背：網眼透氣布。
◎ 多用途手套，手掌完美貼合物品，手背透氣材質可保持透氣舒適，可操作觸控式螢幕。</t>
        </is>
      </c>
    </row>
    <row r="248">
      <c r="A248" t="inlineStr"/>
      <c r="B248" t="inlineStr"/>
      <c r="C248" t="inlineStr">
        <is>
          <t>GLOVES</t>
        </is>
      </c>
      <c r="D248">
        <f>U248</f>
        <v/>
      </c>
      <c r="E248" t="n">
        <v>1118771</v>
      </c>
      <c r="F248" t="inlineStr">
        <is>
          <t>WINTER TREKKING GLOVES MEN'S</t>
        </is>
      </c>
      <c r="G248" t="inlineStr">
        <is>
          <t>BGN      BK      OG      TN</t>
        </is>
      </c>
      <c r="H248" t="inlineStr">
        <is>
          <t>BGN      TN</t>
        </is>
      </c>
      <c r="I248">
        <f>VLOOKUP(H248,[1]尺寸簡表!$C$3:$D$1263,2,0)</f>
        <v/>
      </c>
      <c r="J248" t="n">
        <v>1700</v>
      </c>
      <c r="K248" t="inlineStr">
        <is>
          <t>◎ 重量：78g。
◎ 主體：75D聚酯纖維、手掌：合成皮、填充：EXCELOFT®保暖纖維。DRYTEC®2L（耐水壓20,000mm，透氣度15,000g/m²）撥水中厚手手套。</t>
        </is>
      </c>
    </row>
    <row r="249">
      <c r="A249" t="inlineStr"/>
      <c r="B249" t="inlineStr"/>
      <c r="C249" t="inlineStr">
        <is>
          <t>GLOVES</t>
        </is>
      </c>
      <c r="D249">
        <f>U249</f>
        <v/>
      </c>
      <c r="E249" t="n">
        <v>1118772</v>
      </c>
      <c r="F249" t="inlineStr">
        <is>
          <t>WINTER TREKKING GLOVES WOMEN'S</t>
        </is>
      </c>
      <c r="G249" t="inlineStr">
        <is>
          <t>BK      IV      NV      PK</t>
        </is>
      </c>
      <c r="H249" t="inlineStr">
        <is>
          <t>PK      IV</t>
        </is>
      </c>
      <c r="I249">
        <f>VLOOKUP(H249,[1]尺寸簡表!$C$3:$D$1263,2,0)</f>
        <v/>
      </c>
      <c r="J249" t="n">
        <v>1700</v>
      </c>
      <c r="K249" t="inlineStr">
        <is>
          <t>◎ 重量：68g。
◎ 主體：75D聚酯纖維、手掌：合成皮、填充：EXCELOFT®保暖纖維。DRYTEC®2L（耐水壓20,000mm，透氣度15,000g/m²）撥水中厚手手套。</t>
        </is>
      </c>
    </row>
    <row r="250">
      <c r="A250" t="inlineStr"/>
      <c r="B250" t="inlineStr"/>
      <c r="C250" t="inlineStr">
        <is>
          <t>GLOVES</t>
        </is>
      </c>
      <c r="D250">
        <f>U250</f>
        <v/>
      </c>
      <c r="E250" t="n">
        <v>1118627</v>
      </c>
      <c r="F250" t="inlineStr">
        <is>
          <t>WOOL KNIT GLOVES</t>
        </is>
      </c>
      <c r="G250" t="inlineStr">
        <is>
          <t>NV      OTML</t>
        </is>
      </c>
      <c r="H250" t="inlineStr">
        <is>
          <t>NV      OTML</t>
        </is>
      </c>
      <c r="I250">
        <f>VLOOKUP(H250,[1]尺寸簡表!$C$3:$D$1263,2,0)</f>
        <v/>
      </c>
      <c r="J250" t="n">
        <v>1160</v>
      </c>
      <c r="K250" t="inlineStr">
        <is>
          <t>◎ 重量：66g。
◎ 材質：中厚手，羊毛75%+聚酯纖維20％+壓克力3%+聚氨酯2％。
◎ 保暖又有彈性的羊毛手套，穿戴後可操作觸控式螢幕。</t>
        </is>
      </c>
    </row>
    <row r="251">
      <c r="A251" t="inlineStr"/>
      <c r="B251" t="inlineStr"/>
      <c r="C251" t="inlineStr">
        <is>
          <t>INSULATION</t>
        </is>
      </c>
      <c r="D251">
        <f>U251</f>
        <v/>
      </c>
      <c r="E251" t="n">
        <v>1101710</v>
      </c>
      <c r="F251" t="inlineStr">
        <is>
          <t>ALPINE DOWN JACKET MEN'S</t>
        </is>
      </c>
      <c r="G251" t="inlineStr">
        <is>
          <t>BL      NV      RD</t>
        </is>
      </c>
      <c r="H251" t="inlineStr">
        <is>
          <t>RD</t>
        </is>
      </c>
      <c r="I251">
        <f>VLOOKUP(H251,[1]尺寸簡表!$C$3:$D$1263,2,0)</f>
        <v/>
      </c>
      <c r="J251" t="n">
        <v>9000</v>
      </c>
      <c r="K251" t="inlineStr">
        <is>
          <t>◎ 重量：406g。表布：20D 抗撕裂尼龍、內裡：20D Ballistic Airlight尼龍、填充800FP高品質鵝絨。
◎ 「BOX」箱型立體隔間讓羽絨有空間伸展，提供了有效的熱阻隔。雙頭拉鍊方便穿脫。</t>
        </is>
      </c>
    </row>
    <row r="252">
      <c r="A252" t="inlineStr"/>
      <c r="B252" t="inlineStr"/>
      <c r="C252" t="inlineStr">
        <is>
          <t>INSULATION</t>
        </is>
      </c>
      <c r="D252">
        <f>U252</f>
        <v/>
      </c>
      <c r="E252" t="n">
        <v>1101711</v>
      </c>
      <c r="F252" t="inlineStr">
        <is>
          <t>ALPINE DOWN JACKET WOMEN'S</t>
        </is>
      </c>
      <c r="G252" t="inlineStr">
        <is>
          <t>IV      NV</t>
        </is>
      </c>
      <c r="H252" t="inlineStr">
        <is>
          <t>IV</t>
        </is>
      </c>
      <c r="I252">
        <f>VLOOKUP(H252,[1]尺寸簡表!$C$3:$D$1263,2,0)</f>
        <v/>
      </c>
      <c r="J252" t="n">
        <v>8910</v>
      </c>
      <c r="K252" t="inlineStr">
        <is>
          <t>◎ 重量：364g。表布：20D 抗撕裂尼龍、內裡：20D Ballistic Airlight尼龍、填充800FP高品質鵝絨。
◎ 「BOX」箱型立體隔間讓羽絨有空間伸展，提供了有效的熱阻隔。雙頭拉鍊方便穿脫。</t>
        </is>
      </c>
    </row>
    <row r="253">
      <c r="A253" t="inlineStr"/>
      <c r="B253" t="inlineStr"/>
      <c r="C253" t="inlineStr">
        <is>
          <t>INSULATION</t>
        </is>
      </c>
      <c r="D253">
        <f>U253</f>
        <v/>
      </c>
      <c r="E253" t="n">
        <v>1101708</v>
      </c>
      <c r="F253" t="inlineStr">
        <is>
          <t>ALPINE DOWN PARKA MEN'S</t>
        </is>
      </c>
      <c r="G253" t="inlineStr">
        <is>
          <t>BGN      NV      OG</t>
        </is>
      </c>
      <c r="H253" t="inlineStr">
        <is>
          <t>OG      BGN</t>
        </is>
      </c>
      <c r="I253">
        <f>VLOOKUP(H253,[1]尺寸簡表!$C$3:$D$1263,2,0)</f>
        <v/>
      </c>
      <c r="J253" t="n">
        <v>7800</v>
      </c>
      <c r="K253" t="inlineStr">
        <is>
          <t>◎ 重量：446g。表布：20D 抗撕裂尼龍、內裡：20D Ballistic Airlight尼龍、填充800FP高品質鵝絨。
◎ 「BOX」箱型立體隔間讓羽絨有空間伸展，提供了有效的熱阻隔。雙頭拉鍊方便穿脫。</t>
        </is>
      </c>
    </row>
    <row r="254">
      <c r="A254" t="inlineStr"/>
      <c r="B254" t="inlineStr"/>
      <c r="C254" t="inlineStr">
        <is>
          <t>INSULATION</t>
        </is>
      </c>
      <c r="D254">
        <f>U254</f>
        <v/>
      </c>
      <c r="E254" t="n">
        <v>1101709</v>
      </c>
      <c r="F254" t="inlineStr">
        <is>
          <t>ALPINE DOWN PARKA WOMEN'S</t>
        </is>
      </c>
      <c r="G254" t="inlineStr">
        <is>
          <t>IV      NV      TQ</t>
        </is>
      </c>
      <c r="H254" t="inlineStr">
        <is>
          <t>IV</t>
        </is>
      </c>
      <c r="I254">
        <f>VLOOKUP(H254,[1]尺寸簡表!$C$3:$D$1263,2,0)</f>
        <v/>
      </c>
      <c r="J254" t="n">
        <v>7600</v>
      </c>
      <c r="K254" t="inlineStr">
        <is>
          <t>◎ 重量：415g。表布：20D 抗撕裂尼龍、內裡：20D Ballistic Airlight尼龍、填充800FP高品質鵝絨。
◎ 「BOX」箱型立體隔間讓羽絨有空間伸展，提供了有效的熱阻隔。雙頭拉鍊方便穿脫。</t>
        </is>
      </c>
    </row>
    <row r="255">
      <c r="A255" t="inlineStr"/>
      <c r="B255" t="inlineStr"/>
      <c r="C255" t="inlineStr">
        <is>
          <t>INSULATION</t>
        </is>
      </c>
      <c r="D255">
        <f>U255</f>
        <v/>
      </c>
      <c r="E255" t="n">
        <v>1101688</v>
      </c>
      <c r="F255" t="inlineStr">
        <is>
          <t>EX LIGHT THERMAWRAP JACKET MEN'S</t>
        </is>
      </c>
      <c r="G255" t="inlineStr">
        <is>
          <t>BGN      BK      LGN      PU      RD</t>
        </is>
      </c>
      <c r="H255" t="inlineStr">
        <is>
          <t>BK</t>
        </is>
      </c>
      <c r="I255">
        <f>VLOOKUP(H255,[1]尺寸簡表!$C$3:$D$1263,2,0)</f>
        <v/>
      </c>
      <c r="J255" t="n">
        <v>4970</v>
      </c>
      <c r="K255" t="inlineStr">
        <is>
          <t>◎ 重量：190g。表布：20D Ballistic®Airlight抗撕裂尼龍（撥水加工）、內裡：12D Ballistic®Airlight抗撕裂尼龍（撥水加工）、填充：STRETCH EXCELOFT®彈性保暖纖維。
◎ 非常輕量又保暖的化纖外套。</t>
        </is>
      </c>
    </row>
    <row r="256">
      <c r="A256" t="inlineStr"/>
      <c r="B256" t="inlineStr"/>
      <c r="C256" t="inlineStr">
        <is>
          <t>INSULATION</t>
        </is>
      </c>
      <c r="D256">
        <f>U256</f>
        <v/>
      </c>
      <c r="E256" t="n">
        <v>1101689</v>
      </c>
      <c r="F256" t="inlineStr">
        <is>
          <t>EX LIGHT THERMAWRAP JACKET WOMEN'S</t>
        </is>
      </c>
      <c r="G256" t="inlineStr">
        <is>
          <t>BGN1      BK      RD</t>
        </is>
      </c>
      <c r="H256" t="inlineStr">
        <is>
          <t>BK</t>
        </is>
      </c>
      <c r="I256">
        <f>VLOOKUP(H256,[1]尺寸簡表!$C$3:$D$1263,2,0)</f>
        <v/>
      </c>
      <c r="J256" t="n">
        <v>4860</v>
      </c>
      <c r="K256" t="inlineStr">
        <is>
          <t>◎ 重量：164g。表布：20D Ballistic®Airlight抗撕裂尼龍（撥水加工）、內裡：12D Ballistic®Airlight抗撕裂尼龍（撥水加工）、填充：STRETCH EXCELOFT®彈性保暖纖維。
◎ 非常輕量又保暖的化纖外套。</t>
        </is>
      </c>
    </row>
    <row r="257">
      <c r="A257" t="inlineStr"/>
      <c r="B257" t="inlineStr"/>
      <c r="C257" t="inlineStr">
        <is>
          <t>INSULATION</t>
        </is>
      </c>
      <c r="D257">
        <f>U257</f>
        <v/>
      </c>
      <c r="E257" t="n">
        <v>1101686</v>
      </c>
      <c r="F257" t="inlineStr">
        <is>
          <t>EX LIGHT THERMAWRAP PARKA MEN'S</t>
        </is>
      </c>
      <c r="G257" t="inlineStr">
        <is>
          <t>BGN      BK      GN      LGN      YL</t>
        </is>
      </c>
      <c r="H257" t="inlineStr">
        <is>
          <t>LGN      GN</t>
        </is>
      </c>
      <c r="I257">
        <f>VLOOKUP(H257,[1]尺寸簡表!$C$3:$D$1263,2,0)</f>
        <v/>
      </c>
      <c r="J257" t="n">
        <v>5400</v>
      </c>
      <c r="K257" t="inlineStr">
        <is>
          <t>◎ 重量：207g。表布：20D Ballistic®Airlight抗撕裂尼龍（撥水加工）、內裡：12D Ballistic®Airlight抗撕裂尼龍（撥水加工）、填充：STRETCH EXCELOFT®彈性保暖纖維。
◎ 非常輕量又保暖的化纖外套。</t>
        </is>
      </c>
    </row>
    <row r="258">
      <c r="A258" t="inlineStr"/>
      <c r="B258" t="inlineStr"/>
      <c r="C258" t="inlineStr">
        <is>
          <t>INSULATION</t>
        </is>
      </c>
      <c r="D258">
        <f>U258</f>
        <v/>
      </c>
      <c r="E258" t="n">
        <v>1101687</v>
      </c>
      <c r="F258" t="inlineStr">
        <is>
          <t>EX LIGHT THERMAWRAP PARKA WOMEN'S</t>
        </is>
      </c>
      <c r="G258" t="inlineStr">
        <is>
          <t>BGN1      BK      RD</t>
        </is>
      </c>
      <c r="H258" t="inlineStr">
        <is>
          <t>BK</t>
        </is>
      </c>
      <c r="I258">
        <f>VLOOKUP(H258,[1]尺寸簡表!$C$3:$D$1263,2,0)</f>
        <v/>
      </c>
      <c r="J258" t="n">
        <v>5300</v>
      </c>
      <c r="K258" t="inlineStr">
        <is>
          <t>◎ 重量：180g。表布：20D Ballistic®Airlight抗撕裂尼龍（撥水加工）、內裡：120D Ballistic®Airlight抗撕裂尼龍（撥水加工）、填充：STRETCH EXCELOFT®彈性保暖纖維。
◎ 非常輕量又保暖的化纖外套。</t>
        </is>
      </c>
    </row>
    <row r="259">
      <c r="A259" t="inlineStr"/>
      <c r="B259" t="inlineStr"/>
      <c r="C259" t="inlineStr">
        <is>
          <t>INSULATION</t>
        </is>
      </c>
      <c r="D259">
        <f>U259</f>
        <v/>
      </c>
      <c r="E259" t="n">
        <v>1101728</v>
      </c>
      <c r="F259" t="inlineStr">
        <is>
          <t>EX LIGHT THERMAWRAP ROUND NECK JACKET WOMEN'S</t>
        </is>
      </c>
      <c r="G259" t="inlineStr">
        <is>
          <t>BGN      BK      RD</t>
        </is>
      </c>
      <c r="H259" t="inlineStr">
        <is>
          <t>RD</t>
        </is>
      </c>
      <c r="I259">
        <f>VLOOKUP(H259,[1]尺寸簡表!$C$3:$D$1263,2,0)</f>
        <v/>
      </c>
      <c r="J259" t="n">
        <v>4360</v>
      </c>
      <c r="K259" t="inlineStr">
        <is>
          <t>◎ 重量：150g。外層：20D Ballistic®尼龍布（防靜電加工），內層：12DBallistic Airlight®抗撕裂尼龍布（撥水加工），填充：STRETCH EXCELOFT®彈性保暖纖維。
◎ 超輕量圓領保暖化纖外套，可多層次穿搭，全年穿著皆宜。</t>
        </is>
      </c>
    </row>
    <row r="260">
      <c r="A260" t="inlineStr"/>
      <c r="B260" t="inlineStr"/>
      <c r="C260" t="inlineStr">
        <is>
          <t>INSULATION</t>
        </is>
      </c>
      <c r="D260">
        <f>U260</f>
        <v/>
      </c>
      <c r="E260" t="n">
        <v>1101690</v>
      </c>
      <c r="F260" t="inlineStr">
        <is>
          <t>EX LIGHT THERMAWRAP VEST MEN'S</t>
        </is>
      </c>
      <c r="G260" t="inlineStr">
        <is>
          <t>BGN      BK</t>
        </is>
      </c>
      <c r="H260" t="inlineStr">
        <is>
          <t>BGN</t>
        </is>
      </c>
      <c r="I260">
        <f>VLOOKUP(H260,[1]尺寸簡表!$C$3:$D$1263,2,0)</f>
        <v/>
      </c>
      <c r="J260" t="n">
        <v>3780</v>
      </c>
      <c r="K260" t="inlineStr">
        <is>
          <t>◎ 重量：134g。表布：20D Ballistic®Airlight抗撕裂尼龍（撥水加工）、內裡：12D Ballistic®Airlight抗撕裂尼龍（撥水加工）、填充：STRETCH EXCELOFT®彈性保暖纖維。
◎ 非常輕量又保暖的化纖背心。</t>
        </is>
      </c>
    </row>
    <row r="261">
      <c r="A261" t="inlineStr"/>
      <c r="B261" t="inlineStr"/>
      <c r="C261" t="inlineStr">
        <is>
          <t>INSULATION</t>
        </is>
      </c>
      <c r="D261">
        <f>U261</f>
        <v/>
      </c>
      <c r="E261" t="n">
        <v>1101691</v>
      </c>
      <c r="F261" t="inlineStr">
        <is>
          <t>EX LIGHT THERMAWRAP VEST WOMEN'S</t>
        </is>
      </c>
      <c r="G261" t="inlineStr">
        <is>
          <t>BGN      BK</t>
        </is>
      </c>
      <c r="H261" t="inlineStr">
        <is>
          <t>BK</t>
        </is>
      </c>
      <c r="I261">
        <f>VLOOKUP(H261,[1]尺寸簡表!$C$3:$D$1263,2,0)</f>
        <v/>
      </c>
      <c r="J261" t="n">
        <v>3670</v>
      </c>
      <c r="K261" t="inlineStr">
        <is>
          <t>◎ 重量：115g。表布：20D Ballistic®Airlight抗撕裂尼龍（撥水加工）、內裡：12D Ballistic®Airlight抗撕裂尼龍（撥水加工）、填充：STRETCH EXCELOFT®彈性保暖纖維。
◎ 非常輕量又保暖的化纖背心。</t>
        </is>
      </c>
    </row>
    <row r="262">
      <c r="A262" t="inlineStr"/>
      <c r="B262" t="inlineStr"/>
      <c r="C262" t="inlineStr">
        <is>
          <t>INSULATION</t>
        </is>
      </c>
      <c r="D262">
        <f>U262</f>
        <v/>
      </c>
      <c r="E262" t="n">
        <v>1101727</v>
      </c>
      <c r="F262" t="inlineStr">
        <is>
          <t>EX LIGHT THERMAWRAP V-NECK JACKET MEN'S</t>
        </is>
      </c>
      <c r="G262" t="inlineStr">
        <is>
          <t>BK      LGN</t>
        </is>
      </c>
      <c r="H262" t="inlineStr">
        <is>
          <t>LGN</t>
        </is>
      </c>
      <c r="I262">
        <f>VLOOKUP(H262,[1]尺寸簡表!$C$3:$D$1263,2,0)</f>
        <v/>
      </c>
      <c r="J262" t="n">
        <v>4550</v>
      </c>
      <c r="K262" t="inlineStr">
        <is>
          <t>◎ 重量：159g。外層：20D Ballistic®尼龍布（防靜電加工），內層：12DBallistic Airlight®抗撕裂尼龍布（撥水加工），填充：STRETCH EXCELOFT®彈性保暖纖維。
◎ 超輕量V領保暖化纖外套，可多層次穿搭，全年穿著皆宜。</t>
        </is>
      </c>
    </row>
    <row r="263">
      <c r="A263" t="inlineStr"/>
      <c r="B263" t="inlineStr"/>
      <c r="C263" t="inlineStr">
        <is>
          <t>INSULATION</t>
        </is>
      </c>
      <c r="D263">
        <f>U263</f>
        <v/>
      </c>
      <c r="E263" t="n">
        <v>1101706</v>
      </c>
      <c r="F263" t="inlineStr">
        <is>
          <t>IGNIS DOWN PARKA MEN'S</t>
        </is>
      </c>
      <c r="G263" t="inlineStr">
        <is>
          <t>BGN      BK      OG      TN</t>
        </is>
      </c>
      <c r="H263" t="inlineStr">
        <is>
          <t>BGN      OG</t>
        </is>
      </c>
      <c r="I263">
        <f>VLOOKUP(H263,[1]尺寸簡表!$C$3:$D$1263,2,0)</f>
        <v/>
      </c>
      <c r="J263" t="n">
        <v>12800</v>
      </c>
      <c r="K263" t="inlineStr">
        <is>
          <t>◎ 重量：278g。表布：12D Ballistic®Airlight抗撕裂尼龍布（撥水加工），(SUPER) DRYTEC® 2L。
內裡：7D Ballistic®Airlight抗撕裂尼龍布。填充1000FP高品質鵝絨，隔間與隔間中間不車死，可減少冷點及減輕重量。</t>
        </is>
      </c>
    </row>
    <row r="264">
      <c r="A264" t="inlineStr"/>
      <c r="B264" t="inlineStr"/>
      <c r="C264" t="inlineStr">
        <is>
          <t>INSULATION</t>
        </is>
      </c>
      <c r="D264">
        <f>U264</f>
        <v/>
      </c>
      <c r="E264" t="n">
        <v>1101707</v>
      </c>
      <c r="F264" t="inlineStr">
        <is>
          <t>IGNIS DOWN PARKA WOMEN'S</t>
        </is>
      </c>
      <c r="G264" t="inlineStr">
        <is>
          <t>BK      LGY      YL</t>
        </is>
      </c>
      <c r="H264" t="inlineStr">
        <is>
          <t>LGY</t>
        </is>
      </c>
      <c r="I264">
        <f>VLOOKUP(H264,[1]尺寸簡表!$C$3:$D$1263,2,0)</f>
        <v/>
      </c>
      <c r="J264" t="n">
        <v>12400</v>
      </c>
      <c r="K264" t="inlineStr">
        <is>
          <t>◎ 重量：239g。表布：12D Ballistic®Airlight抗撕裂尼龍布（撥水加工），(SUPER) DRYTEC® 2L。
內裡：7D Ballistic®Airlight抗撕裂尼龍布。填充1000FP高品質鵝絨，隔間與隔間中間不車死，可減少冷點及減輕重量。</t>
        </is>
      </c>
    </row>
    <row r="265">
      <c r="A265" t="inlineStr"/>
      <c r="B265" t="inlineStr"/>
      <c r="C265" t="inlineStr">
        <is>
          <t>INSULATION</t>
        </is>
      </c>
      <c r="D265">
        <f>U265</f>
        <v/>
      </c>
      <c r="E265" t="n">
        <v>1101608</v>
      </c>
      <c r="F265" t="inlineStr">
        <is>
          <t>LIGHT ALPINE DOWN JACKET MEN'S</t>
        </is>
      </c>
      <c r="G265" t="inlineStr">
        <is>
          <t>BK      BRIC      IND      OLYL</t>
        </is>
      </c>
      <c r="I265">
        <f>VLOOKUP(H265,[1]尺寸簡表!$C$3:$D$1263,2,0)</f>
        <v/>
      </c>
      <c r="J265" t="n">
        <v>6660</v>
      </c>
      <c r="K265" t="inlineStr">
        <is>
          <t>◎ 重量：312g。表布：20D Ballistic®抗撕裂霧面尼龍布（撥水加工、抗靜電）、內裡20D Ballistic®尼龍布（抗靜電）、填充800FP高品質鵝絨。隔間與隔間中間不車死，可減少冷點及減輕重量。</t>
        </is>
      </c>
    </row>
    <row r="266">
      <c r="A266" t="inlineStr"/>
      <c r="B266" t="inlineStr"/>
      <c r="C266" t="inlineStr">
        <is>
          <t>INSULATION</t>
        </is>
      </c>
      <c r="D266">
        <f>U266</f>
        <v/>
      </c>
      <c r="E266" t="n">
        <v>1101676</v>
      </c>
      <c r="F266" t="inlineStr">
        <is>
          <t>LIGHT ALPINE DOWN JACKET WOMEN'S</t>
        </is>
      </c>
      <c r="G266" t="inlineStr">
        <is>
          <t>BGN      IV      NV      PU</t>
        </is>
      </c>
      <c r="I266">
        <f>VLOOKUP(H266,[1]尺寸簡表!$C$3:$D$1263,2,0)</f>
        <v/>
      </c>
      <c r="J266" t="n">
        <v>5800</v>
      </c>
      <c r="K266" t="inlineStr">
        <is>
          <t>◎ 重量：282g。表布：20D Ballistic®抗撕裂霧面尼龍布（撥水加工、抗靜電）、內裡20D Ballistic®尼龍布（抗靜電）、填充800FP高品質鵝絨。隔間與隔間中間不車死，可減少冷點及減輕重量。</t>
        </is>
      </c>
    </row>
    <row r="267">
      <c r="A267" t="inlineStr"/>
      <c r="B267" t="inlineStr"/>
      <c r="C267" t="inlineStr">
        <is>
          <t>INSULATION</t>
        </is>
      </c>
      <c r="D267">
        <f>U267</f>
        <v/>
      </c>
      <c r="E267" t="n">
        <v>1101575</v>
      </c>
      <c r="F267" t="inlineStr">
        <is>
          <t>LIGHT ALPINE DOWN PANTS MEN'S</t>
        </is>
      </c>
      <c r="G267" t="inlineStr">
        <is>
          <t>BK      DKNV</t>
        </is>
      </c>
      <c r="H267" t="inlineStr">
        <is>
          <t>DKNV</t>
        </is>
      </c>
      <c r="I267">
        <f>VLOOKUP(H267,[1]尺寸簡表!$C$3:$D$1263,2,0)</f>
        <v/>
      </c>
      <c r="J267" t="n">
        <v>5580</v>
      </c>
      <c r="K267" t="inlineStr">
        <is>
          <t>◎ 重量：316g。表布：20D Ballistic®抗撕裂霧面尼龍布（撥水加工、抗靜電）、內裡20D Ballistic®尼龍布（抗靜電）、膝蓋及臀部：40D尼龍、填充800FP高品質鵝絨。</t>
        </is>
      </c>
    </row>
    <row r="268">
      <c r="A268" t="inlineStr"/>
      <c r="B268" t="inlineStr"/>
      <c r="C268" t="inlineStr">
        <is>
          <t>INSULATION</t>
        </is>
      </c>
      <c r="D268">
        <f>U268</f>
        <v/>
      </c>
      <c r="E268" t="n">
        <v>1101576</v>
      </c>
      <c r="F268" t="inlineStr">
        <is>
          <t>LIGHT ALPINE DOWN PANTS WOMEN'S</t>
        </is>
      </c>
      <c r="G268" t="inlineStr">
        <is>
          <t>BK      DKNV</t>
        </is>
      </c>
      <c r="H268" t="inlineStr">
        <is>
          <t>BK</t>
        </is>
      </c>
      <c r="I268">
        <f>VLOOKUP(H268,[1]尺寸簡表!$C$3:$D$1263,2,0)</f>
        <v/>
      </c>
      <c r="J268" t="n">
        <v>5220</v>
      </c>
      <c r="K268" t="inlineStr">
        <is>
          <t>◎ 重量：282g。表布：20D Ballistic®抗撕裂霧面尼龍布（撥水加工、抗靜電）、內裡20D Ballistic®尼龍布（抗靜電）、膝蓋及臀部：40D尼龍、填充800FP高品質鵝絨。</t>
        </is>
      </c>
    </row>
    <row r="269">
      <c r="A269" t="inlineStr"/>
      <c r="B269" t="inlineStr"/>
      <c r="C269" t="inlineStr">
        <is>
          <t>INSULATION</t>
        </is>
      </c>
      <c r="D269">
        <f>U269</f>
        <v/>
      </c>
      <c r="E269" t="n">
        <v>1101606</v>
      </c>
      <c r="F269" t="inlineStr">
        <is>
          <t>LIGHT ALPINE DOWN PARKA MEN'S</t>
        </is>
      </c>
      <c r="G269" t="inlineStr">
        <is>
          <t>BK      DKFO      IND      PAPRI      STBL</t>
        </is>
      </c>
      <c r="H269" t="inlineStr">
        <is>
          <t>PAPRI      STBL      IND      DKFO</t>
        </is>
      </c>
      <c r="I269">
        <f>VLOOKUP(H269,[1]尺寸簡表!$C$3:$D$1263,2,0)</f>
        <v/>
      </c>
      <c r="J269" t="n">
        <v>6640</v>
      </c>
      <c r="K269" t="inlineStr">
        <is>
          <t>◎ 重量：354g。表布：20D Ballistic®抗撕裂霧面尼龍布（撥水加工、抗靜電）、內裡20D Ballistic®尼龍布（抗靜電）、填充800FP高品質鵝絨。隔間與隔間中間不車死，可減少冷點及減輕重量。</t>
        </is>
      </c>
    </row>
    <row r="270">
      <c r="A270" t="inlineStr"/>
      <c r="B270" t="inlineStr"/>
      <c r="C270" t="inlineStr">
        <is>
          <t>INSULATION</t>
        </is>
      </c>
      <c r="D270">
        <f>U270</f>
        <v/>
      </c>
      <c r="E270" t="n">
        <v>1101675</v>
      </c>
      <c r="F270" t="inlineStr">
        <is>
          <t>LIGHT ALPINE DOWN PARKA WOMEN'S</t>
        </is>
      </c>
      <c r="G270" t="inlineStr">
        <is>
          <t>BGN      IV      NV      PU</t>
        </is>
      </c>
      <c r="H270" t="inlineStr">
        <is>
          <t>NV</t>
        </is>
      </c>
      <c r="I270">
        <f>VLOOKUP(H270,[1]尺寸簡表!$C$3:$D$1263,2,0)</f>
        <v/>
      </c>
      <c r="J270" t="n">
        <v>6520</v>
      </c>
      <c r="K270" t="inlineStr">
        <is>
          <t>◎ 重量：326g。表布：20D Ballistic®抗撕裂霧面尼龍布（撥水加工、抗靜電）、內裡20D Ballistic®尼龍布（抗靜電）、填充800FP高品質。隔間與隔間中間不車死，可減少冷點及減輕重量。</t>
        </is>
      </c>
    </row>
    <row r="271">
      <c r="A271" t="inlineStr"/>
      <c r="B271" t="inlineStr"/>
      <c r="C271" t="inlineStr">
        <is>
          <t>INSULATION</t>
        </is>
      </c>
      <c r="D271">
        <f>U271</f>
        <v/>
      </c>
      <c r="E271" t="n">
        <v>1101610</v>
      </c>
      <c r="F271" t="inlineStr">
        <is>
          <t>LIGHT ALPINE DOWN VEST MEN'S</t>
        </is>
      </c>
      <c r="G271" t="inlineStr">
        <is>
          <t>BK      BKOV      IND</t>
        </is>
      </c>
      <c r="H271" t="inlineStr">
        <is>
          <t>BK</t>
        </is>
      </c>
      <c r="I271">
        <f>VLOOKUP(H271,[1]尺寸簡表!$C$3:$D$1263,2,0)</f>
        <v/>
      </c>
      <c r="J271" t="n">
        <v>4880</v>
      </c>
      <c r="K271" t="inlineStr">
        <is>
          <t>◎ 重量：229g。表布：20D Ballistic®抗撕裂霧面尼龍布（撥水加工、抗靜電）、內裡20D Ballistic®尼龍布（抗靜電）、填充800FP高品質鵝絨。隔間與隔間中間不車死，可減少冷點及減輕重量。</t>
        </is>
      </c>
    </row>
    <row r="272">
      <c r="A272" t="inlineStr"/>
      <c r="B272" t="inlineStr"/>
      <c r="C272" t="inlineStr">
        <is>
          <t>INSULATION</t>
        </is>
      </c>
      <c r="D272">
        <f>U272</f>
        <v/>
      </c>
      <c r="E272" t="n">
        <v>1101677</v>
      </c>
      <c r="F272" t="inlineStr">
        <is>
          <t>LIGHT ALPINE DOWN VEST WOMEN'S</t>
        </is>
      </c>
      <c r="G272" t="inlineStr">
        <is>
          <t>IV      NV      PU</t>
        </is>
      </c>
      <c r="I272">
        <f>VLOOKUP(H272,[1]尺寸簡表!$C$3:$D$1263,2,0)</f>
        <v/>
      </c>
      <c r="J272" t="n">
        <v>4760</v>
      </c>
      <c r="K272" t="inlineStr">
        <is>
          <t>◎ 重量：214g。表布：20D Ballistic®抗撕裂霧面尼龍布（撥水加工、抗靜電）、內裡20D Ballistic®尼龍布（抗靜電）、填充800FP高品質鵝絨。隔間與隔間中間不車死，可減少冷點及減輕重量。</t>
        </is>
      </c>
    </row>
    <row r="273">
      <c r="A273" t="inlineStr"/>
      <c r="B273" t="inlineStr"/>
      <c r="C273" t="inlineStr">
        <is>
          <t>INSULATION</t>
        </is>
      </c>
      <c r="D273">
        <f>U273</f>
        <v/>
      </c>
      <c r="E273" t="n">
        <v>1101729</v>
      </c>
      <c r="F273" t="inlineStr">
        <is>
          <t>NEIGE DOWN JACKET MEN'S</t>
        </is>
      </c>
      <c r="G273" t="inlineStr">
        <is>
          <t>BK      DGN      NV      OG</t>
        </is>
      </c>
      <c r="H273" t="inlineStr">
        <is>
          <t>OG</t>
        </is>
      </c>
      <c r="I273">
        <f>VLOOKUP(H273,[1]尺寸簡表!$C$3:$D$1263,2,0)</f>
        <v/>
      </c>
      <c r="J273" t="n">
        <v>7760</v>
      </c>
      <c r="K273" t="inlineStr">
        <is>
          <t>◎ 重量：318g。表布：20D Ballistic®抗撕裂霧面尼龍布（撥水加工）、內裡20D Ballistic®尼龍布（抗靜電）、填充800FP高品質鵝絨。隔間與隔間中間不車死，可減少冷點及減輕重量。</t>
        </is>
      </c>
    </row>
    <row r="274">
      <c r="A274" t="inlineStr"/>
      <c r="B274" t="inlineStr"/>
      <c r="C274" t="inlineStr">
        <is>
          <t>INSULATION</t>
        </is>
      </c>
      <c r="D274">
        <f>U274</f>
        <v/>
      </c>
      <c r="E274" t="n">
        <v>1101730</v>
      </c>
      <c r="F274" t="inlineStr">
        <is>
          <t>NEIGE DOWN JACKET WOMEN'S</t>
        </is>
      </c>
      <c r="G274" t="inlineStr">
        <is>
          <t>BK      GY      LGY      RD</t>
        </is>
      </c>
      <c r="H274" t="inlineStr">
        <is>
          <t>LGY</t>
        </is>
      </c>
      <c r="I274">
        <f>VLOOKUP(H274,[1]尺寸簡表!$C$3:$D$1263,2,0)</f>
        <v/>
      </c>
      <c r="J274" t="n">
        <v>7450</v>
      </c>
      <c r="K274" t="inlineStr">
        <is>
          <t>◎ 重量：280g。表布：20D Ballistic®抗撕裂霧面尼龍布（撥水加工）、內裡20D Ballistic®尼龍布（抗靜電）、填充800FP高品質鵝絨。隔間與隔間中間不車死，可減少冷點及減輕重量。</t>
        </is>
      </c>
    </row>
    <row r="275">
      <c r="A275" t="inlineStr">
        <is>
          <t>促銷款</t>
        </is>
      </c>
      <c r="B275" t="inlineStr">
        <is>
          <t>活動款</t>
        </is>
      </c>
      <c r="C275" t="inlineStr">
        <is>
          <t>INSULATION</t>
        </is>
      </c>
      <c r="D275">
        <f>U275</f>
        <v/>
      </c>
      <c r="E275" t="n">
        <v>1101673</v>
      </c>
      <c r="F275" t="inlineStr">
        <is>
          <t>NEIGE DOWN PARKA MEN'S</t>
        </is>
      </c>
      <c r="G275" t="inlineStr">
        <is>
          <t>BK      BL      NV      TN      WRD</t>
        </is>
      </c>
      <c r="H275" t="inlineStr">
        <is>
          <t>NV      BL      BK      WRD</t>
        </is>
      </c>
      <c r="I275">
        <f>VLOOKUP(H275,[1]尺寸簡表!$C$3:$D$1263,2,0)</f>
        <v/>
      </c>
      <c r="J275" t="n">
        <v>6860</v>
      </c>
      <c r="K275" t="inlineStr">
        <is>
          <t>◎ 重量：363g。表布：20D Ballistic®抗撕裂霧面尼龍布（撥水加工）、內裡20D Ballistic®尼龍布（抗靜電）、填充800FP高品質鵝絨。隔間與隔間中間不車死，可減少冷點及減輕重量。</t>
        </is>
      </c>
    </row>
    <row r="276">
      <c r="A276" t="inlineStr">
        <is>
          <t>促銷款</t>
        </is>
      </c>
      <c r="B276" t="inlineStr">
        <is>
          <t>活動款</t>
        </is>
      </c>
      <c r="C276" t="inlineStr">
        <is>
          <t>INSULATION</t>
        </is>
      </c>
      <c r="D276">
        <f>U276</f>
        <v/>
      </c>
      <c r="E276" t="n">
        <v>1101674</v>
      </c>
      <c r="F276" t="inlineStr">
        <is>
          <t>NEIGE DOWN PARKA WOMEN'S</t>
        </is>
      </c>
      <c r="G276" t="inlineStr">
        <is>
          <t>BK      GY      LGY      RD</t>
        </is>
      </c>
      <c r="H276" t="inlineStr">
        <is>
          <t>GY</t>
        </is>
      </c>
      <c r="I276">
        <f>VLOOKUP(H276,[1]尺寸簡表!$C$3:$D$1263,2,0)</f>
        <v/>
      </c>
      <c r="J276" t="n">
        <v>6700</v>
      </c>
      <c r="K276" t="inlineStr">
        <is>
          <t>◎ 重量：322g。表布：20D Ballistic®抗撕裂霧面尼龍布（撥水加工）、內裡20D Ballistic®尼龍布（抗靜電）、填充800FP高品質鵝絨。隔間與隔間中間不車死，可減少冷點及減輕重量。</t>
        </is>
      </c>
    </row>
    <row r="277">
      <c r="A277" t="inlineStr"/>
      <c r="B277" t="inlineStr"/>
      <c r="C277" t="inlineStr">
        <is>
          <t>INSULATION</t>
        </is>
      </c>
      <c r="D277">
        <f>U277</f>
        <v/>
      </c>
      <c r="E277" t="n">
        <v>1101731</v>
      </c>
      <c r="F277" t="inlineStr">
        <is>
          <t>NEIGE DOWN VEST MEN'S</t>
        </is>
      </c>
      <c r="G277" t="inlineStr">
        <is>
          <t>DGN      TN</t>
        </is>
      </c>
      <c r="H277" t="inlineStr">
        <is>
          <t>TN</t>
        </is>
      </c>
      <c r="I277">
        <f>VLOOKUP(H277,[1]尺寸簡表!$C$3:$D$1263,2,0)</f>
        <v/>
      </c>
      <c r="J277" t="n">
        <v>6330</v>
      </c>
      <c r="K277" t="inlineStr">
        <is>
          <t>◎ 重量：240g。表布：20D Ballistic®抗撕裂霧面尼龍布（撥水加工）、內裡20D Ballistic®尼龍布（抗靜電）、填充800FP高品質鵝絨。隔間與隔間中間不車死，可減少冷點及減輕重量。</t>
        </is>
      </c>
    </row>
    <row r="278">
      <c r="A278" t="inlineStr"/>
      <c r="B278" t="inlineStr"/>
      <c r="C278" t="inlineStr">
        <is>
          <t>INSULATION</t>
        </is>
      </c>
      <c r="D278">
        <f>U278</f>
        <v/>
      </c>
      <c r="E278" t="n">
        <v>1101732</v>
      </c>
      <c r="F278" t="inlineStr">
        <is>
          <t>NEIGE DOWN VEST WOMEN'S</t>
        </is>
      </c>
      <c r="G278" t="inlineStr">
        <is>
          <t>BK      GY      LGY</t>
        </is>
      </c>
      <c r="H278" t="inlineStr">
        <is>
          <t>GY</t>
        </is>
      </c>
      <c r="I278">
        <f>VLOOKUP(H278,[1]尺寸簡表!$C$3:$D$1263,2,0)</f>
        <v/>
      </c>
      <c r="J278" t="n">
        <v>6080</v>
      </c>
      <c r="K278" t="inlineStr">
        <is>
          <t>◎ 重量：210g。表布：20D Ballistic®抗撕裂霧面尼龍布（撥水加工）、內裡20D Ballistic®尼龍布（抗靜電）、填充800FP高品質鵝絨。隔間與隔間中間不車死，可減少冷點及減輕重量。</t>
        </is>
      </c>
    </row>
    <row r="279">
      <c r="C279" t="inlineStr">
        <is>
          <t>INSULATION</t>
        </is>
      </c>
      <c r="D279">
        <f>U279</f>
        <v/>
      </c>
      <c r="E279" t="n">
        <v>1101715</v>
      </c>
      <c r="F279" t="inlineStr">
        <is>
          <t>PERMAFROST LIGHT DOWN JACKET MEN'S</t>
        </is>
      </c>
      <c r="G279" t="inlineStr">
        <is>
          <t>BGN      BGY      BK      GAR</t>
        </is>
      </c>
      <c r="H279" t="inlineStr">
        <is>
          <t>BGN</t>
        </is>
      </c>
      <c r="I279" t="inlineStr">
        <is>
          <t>XS      S      M      L      XL      M-R      L-R</t>
        </is>
      </c>
      <c r="J279" t="n">
        <v>8430</v>
      </c>
      <c r="K279" t="inlineStr">
        <is>
          <t>◎ 重量：337g。表布：12D Ballistic®Airlight布料，(SUPER) DRYTEC® 2L、內裡：20D Ballistic®Airlight抗撕裂尼龍（撥水、防靜電加工）、填充800FP高品質鵝絨。
◎ 使用輕量防水拉鍊，可暫時抵擋突然下起的小雨。</t>
        </is>
      </c>
    </row>
    <row r="280">
      <c r="A280" t="inlineStr"/>
      <c r="B280" t="inlineStr"/>
      <c r="C280" t="inlineStr">
        <is>
          <t>INSULATION</t>
        </is>
      </c>
      <c r="D280">
        <f>U280</f>
        <v/>
      </c>
      <c r="E280" t="n">
        <v>1101716</v>
      </c>
      <c r="F280" t="inlineStr">
        <is>
          <t>PERMAFROST LIGHT DOWN JACKET WOMEN'S</t>
        </is>
      </c>
      <c r="G280" t="inlineStr">
        <is>
          <t>DBN      IV      NV</t>
        </is>
      </c>
      <c r="H280" t="inlineStr">
        <is>
          <t>IV</t>
        </is>
      </c>
      <c r="I280">
        <f>VLOOKUP(H280,[1]尺寸簡表!$C$3:$D$1263,2,0)</f>
        <v/>
      </c>
      <c r="J280" t="n">
        <v>8100</v>
      </c>
      <c r="K280" t="inlineStr">
        <is>
          <t>◎ 重量：266g。表布：12D Ballistic®Airlight布料，(SUPER) DRYTEC® 2L、內裡：20D Ballistic®Airlight抗撕裂尼龍（撥水、防靜電加工）、填充800FP高品質鵝絨。
◎ 使用輕量防水拉鍊，可暫時抵擋突然下起的小雨。</t>
        </is>
      </c>
    </row>
    <row r="281">
      <c r="A281" t="inlineStr"/>
      <c r="B281" t="inlineStr"/>
      <c r="C281" t="inlineStr">
        <is>
          <t>INSULATION</t>
        </is>
      </c>
      <c r="D281">
        <f>U281</f>
        <v/>
      </c>
      <c r="E281" t="n">
        <v>1101713</v>
      </c>
      <c r="F281" t="inlineStr">
        <is>
          <t>PERMAFROST LIGHT DOWN PARKA MEN'S</t>
        </is>
      </c>
      <c r="G281" t="inlineStr">
        <is>
          <t>BGN      BK      DGN      RD      YL</t>
        </is>
      </c>
      <c r="H281" t="inlineStr">
        <is>
          <t>YL      DGN</t>
        </is>
      </c>
      <c r="I281">
        <f>VLOOKUP(H281,[1]尺寸簡表!$C$3:$D$1263,2,0)</f>
        <v/>
      </c>
      <c r="J281" t="n">
        <v>9500</v>
      </c>
      <c r="K281" t="inlineStr">
        <is>
          <t>◎ 重量：354g。表布：12D Ballistic®Airlight布料，(SUPER) DRYTEC® 2L、內裡：20D Ballistic®Airlight抗撕裂尼龍（撥水、防靜電加工）、填充800FP高品質鵝絨。
◎ 使用輕量防水拉鍊，可暫時抵擋突然下起的小雨。</t>
        </is>
      </c>
    </row>
    <row r="282">
      <c r="A282" t="inlineStr"/>
      <c r="B282" t="inlineStr"/>
      <c r="C282" t="inlineStr">
        <is>
          <t>INSULATION</t>
        </is>
      </c>
      <c r="D282">
        <f>U282</f>
        <v/>
      </c>
      <c r="E282" t="n">
        <v>1101714</v>
      </c>
      <c r="F282" t="inlineStr">
        <is>
          <t>PERMAFROST LIGHT DOWN PARKA WOMEN'S</t>
        </is>
      </c>
      <c r="G282" t="inlineStr">
        <is>
          <t>CN      DBN      IV      NV</t>
        </is>
      </c>
      <c r="H282" t="inlineStr">
        <is>
          <t>DBN</t>
        </is>
      </c>
      <c r="I282">
        <f>VLOOKUP(H282,[1]尺寸簡表!$C$3:$D$1263,2,0)</f>
        <v/>
      </c>
      <c r="J282" t="n">
        <v>9200</v>
      </c>
      <c r="K282" t="inlineStr">
        <is>
          <t>◎ 重量：327g。表布：12D Ballistic®Airlight布料，(SUPER) DRYTEC® 2L、內裡：20D Ballistic®Airlight抗撕裂尼龍（撥水、防靜電加工）、填充800FP高品質鵝絨。
◎ 使用輕量防水拉鍊，可暫時抵擋突然下起的小雨。</t>
        </is>
      </c>
    </row>
    <row r="283">
      <c r="A283" t="inlineStr"/>
      <c r="B283" t="inlineStr"/>
      <c r="C283" t="inlineStr">
        <is>
          <t>INSULATION</t>
        </is>
      </c>
      <c r="D283">
        <f>U283</f>
        <v/>
      </c>
      <c r="E283" t="n">
        <v>1101528</v>
      </c>
      <c r="F283" t="inlineStr">
        <is>
          <t>PLASMA 1000 ALPINE DOWN PARKA MEN'S</t>
        </is>
      </c>
      <c r="G283" t="inlineStr">
        <is>
          <t>BK      LGY      PUID</t>
        </is>
      </c>
      <c r="H283" t="inlineStr">
        <is>
          <t>PUID</t>
        </is>
      </c>
      <c r="I283">
        <f>VLOOKUP(H283,[1]尺寸簡表!$C$3:$D$1263,2,0)</f>
        <v/>
      </c>
      <c r="J283" t="n">
        <v>14040</v>
      </c>
      <c r="K283" t="inlineStr">
        <is>
          <t>◎ 重量：236g。7D抗撕裂超輕量Ballistic®Airlight表布（撥水加工）、填充1000FP高等級鵝絨。隔間與隔間中間不車死，可減少冷點及減輕重量。</t>
        </is>
      </c>
    </row>
    <row r="284">
      <c r="A284" t="inlineStr"/>
      <c r="B284" t="inlineStr"/>
      <c r="C284" t="inlineStr">
        <is>
          <t>INSULATION</t>
        </is>
      </c>
      <c r="D284">
        <f>U284</f>
        <v/>
      </c>
      <c r="E284" t="n">
        <v>1101578</v>
      </c>
      <c r="F284" t="inlineStr">
        <is>
          <t>PLASMA 1000 ALPINE DOWN PARKA WOMEN'S</t>
        </is>
      </c>
      <c r="G284" t="inlineStr">
        <is>
          <t>DKNV      WT      YL</t>
        </is>
      </c>
      <c r="H284" t="inlineStr">
        <is>
          <t>DKNV</t>
        </is>
      </c>
      <c r="I284">
        <f>VLOOKUP(H284,[1]尺寸簡表!$C$3:$D$1263,2,0)</f>
        <v/>
      </c>
      <c r="J284" t="n">
        <v>13670</v>
      </c>
      <c r="K284" t="inlineStr">
        <is>
          <t>◎ 重量：221g。7D抗撕裂超輕量Ballistic®Airlight表布（撥水加工）、填充1000FP高等級鵝絨。隔間與隔間中間不車死，可減少冷點及減輕重量。</t>
        </is>
      </c>
    </row>
    <row r="285">
      <c r="A285" t="inlineStr"/>
      <c r="B285" t="inlineStr"/>
      <c r="C285" t="inlineStr">
        <is>
          <t>INSULATION</t>
        </is>
      </c>
      <c r="D285">
        <f>U285</f>
        <v/>
      </c>
      <c r="E285" t="n">
        <v>1101493</v>
      </c>
      <c r="F285" t="inlineStr">
        <is>
          <t>PLASMA 1000 DOWN JACKET MEN'S</t>
        </is>
      </c>
      <c r="G285" t="inlineStr">
        <is>
          <t>BGN      BK      LTSV      OG</t>
        </is>
      </c>
      <c r="H285" t="inlineStr">
        <is>
          <t>BK      LTSV</t>
        </is>
      </c>
      <c r="I285">
        <f>VLOOKUP(H285,[1]尺寸簡表!$C$3:$D$1263,2,0)</f>
        <v/>
      </c>
      <c r="J285" t="n">
        <v>9140</v>
      </c>
      <c r="K285" t="inlineStr">
        <is>
          <t>◎ 重量：130g。7D抗撕裂超輕量Ballistic®Airlight表布（撥水加工）、填充1000FP高等級鵝絨。隔間與隔間中間不車死，可減少冷點及減輕重量。</t>
        </is>
      </c>
    </row>
    <row r="286">
      <c r="A286" t="inlineStr"/>
      <c r="B286" t="inlineStr"/>
      <c r="C286" t="inlineStr">
        <is>
          <t>INSULATION</t>
        </is>
      </c>
      <c r="D286">
        <f>U286</f>
        <v/>
      </c>
      <c r="E286" t="n">
        <v>1101529</v>
      </c>
      <c r="F286" t="inlineStr">
        <is>
          <t>PLASMA 1000 DOWN JACKET WOMEN'S</t>
        </is>
      </c>
      <c r="G286" t="inlineStr">
        <is>
          <t>DKNV      WT      YL</t>
        </is>
      </c>
      <c r="H286" t="inlineStr">
        <is>
          <t>WT      DKNV</t>
        </is>
      </c>
      <c r="I286">
        <f>VLOOKUP(H286,[1]尺寸簡表!$C$3:$D$1263,2,0)</f>
        <v/>
      </c>
      <c r="J286" t="n">
        <v>9200</v>
      </c>
      <c r="K286" t="inlineStr">
        <is>
          <t>◎ 重量：116g。7D抗撕裂超輕量Ballistic®Airlight表布（撥水加工）、填充1000FP高等級鵝絨。隔間與隔間中間不車死，可減少冷點及減輕重量。</t>
        </is>
      </c>
    </row>
    <row r="287">
      <c r="A287" t="inlineStr"/>
      <c r="B287" t="inlineStr"/>
      <c r="C287" t="inlineStr">
        <is>
          <t>INSULATION</t>
        </is>
      </c>
      <c r="D287">
        <f>U287</f>
        <v/>
      </c>
      <c r="E287" t="n">
        <v>1101530</v>
      </c>
      <c r="F287" t="inlineStr">
        <is>
          <t>PLASMA 1000 DOWN VEST MEN'S</t>
        </is>
      </c>
      <c r="G287" t="inlineStr">
        <is>
          <t>BGN      BK</t>
        </is>
      </c>
      <c r="H287" t="inlineStr">
        <is>
          <t>BGN</t>
        </is>
      </c>
      <c r="I287">
        <f>VLOOKUP(H287,[1]尺寸簡表!$C$3:$D$1263,2,0)</f>
        <v/>
      </c>
      <c r="J287" t="n">
        <v>7300</v>
      </c>
      <c r="K287" t="inlineStr">
        <is>
          <t>◎ 重量：92g。7D抗撕裂超輕量Ballistic®Airlight表布（撥水加工）、填充1000FP高等級鵝絨。隔間與隔間中間不車死，可減少冷點及減輕重量。</t>
        </is>
      </c>
    </row>
    <row r="288">
      <c r="A288" t="inlineStr"/>
      <c r="B288" t="inlineStr"/>
      <c r="C288" t="inlineStr">
        <is>
          <t>INSULATION</t>
        </is>
      </c>
      <c r="D288">
        <f>U288</f>
        <v/>
      </c>
      <c r="E288" t="n">
        <v>1101531</v>
      </c>
      <c r="F288" t="inlineStr">
        <is>
          <t>PLASMA 1000 DOWN VEST WOMEN'S</t>
        </is>
      </c>
      <c r="G288" t="inlineStr">
        <is>
          <t>DKNV      WT</t>
        </is>
      </c>
      <c r="H288" t="inlineStr">
        <is>
          <t>DKNV</t>
        </is>
      </c>
      <c r="I288">
        <f>VLOOKUP(H288,[1]尺寸簡表!$C$3:$D$1263,2,0)</f>
        <v/>
      </c>
      <c r="J288" t="n">
        <v>7130</v>
      </c>
      <c r="K288" t="inlineStr">
        <is>
          <t>◎ 重量：85g。7D抗撕裂超輕量Ballistic®Airlight表布（撥水加工）、填充1000FP世界最高等級鵝絨。隔間與隔間中間不車死，可減少冷點及減輕重量。</t>
        </is>
      </c>
    </row>
    <row r="289">
      <c r="A289" t="inlineStr"/>
      <c r="B289" t="inlineStr"/>
      <c r="C289" t="inlineStr">
        <is>
          <t>INSULATION</t>
        </is>
      </c>
      <c r="D289">
        <f>U289</f>
        <v/>
      </c>
      <c r="E289" t="n">
        <v>1101717</v>
      </c>
      <c r="F289" t="inlineStr">
        <is>
          <t>SUPER DRY-TEC DOWN PANTS MEN'S</t>
        </is>
      </c>
      <c r="G289" t="inlineStr">
        <is>
          <t>BK      NV</t>
        </is>
      </c>
      <c r="H289" t="inlineStr">
        <is>
          <t>NV</t>
        </is>
      </c>
      <c r="I289">
        <f>VLOOKUP(H289,[1]尺寸簡表!$C$3:$D$1263,2,0)</f>
        <v/>
      </c>
      <c r="J289" t="n">
        <v>6680</v>
      </c>
      <c r="K289" t="inlineStr">
        <is>
          <t>◎ 重量：357g。表布：12D Ballistic®Airlight布料，(SUPER) DRYTEC® 2L、內裡：20D Ballistic®Airlight抗撕裂尼龍（撥水、防靜電加工）、填充800FP高品質鵝絨。
◎ 防絨處理，具褲腳收束機能。</t>
        </is>
      </c>
    </row>
    <row r="290">
      <c r="A290" t="inlineStr"/>
      <c r="B290" t="inlineStr"/>
      <c r="C290" t="inlineStr">
        <is>
          <t>INSULATION</t>
        </is>
      </c>
      <c r="D290">
        <f>U290</f>
        <v/>
      </c>
      <c r="E290" t="n">
        <v>1101718</v>
      </c>
      <c r="F290" t="inlineStr">
        <is>
          <t>SUPER DRY-TEC DOWN PANTS WOMEN'S</t>
        </is>
      </c>
      <c r="G290" t="inlineStr">
        <is>
          <t>BK</t>
        </is>
      </c>
      <c r="H290" t="inlineStr">
        <is>
          <t>BK</t>
        </is>
      </c>
      <c r="I290">
        <f>VLOOKUP(H290,[1]尺寸簡表!$C$3:$D$1263,2,0)</f>
        <v/>
      </c>
      <c r="J290" t="n">
        <v>6360</v>
      </c>
      <c r="K290" t="inlineStr">
        <is>
          <t>◎ 重量：296g。表布：12D Ballistic®Airlight布料，(SUPER) DRYTEC® 2L、內裡：20D Ballistic®Airlight抗撕裂尼龍（撥水、防靜電加工）、填充800FP高品質鵝絨。
◎ 防絨處理，具褲腳收束機能。</t>
        </is>
      </c>
    </row>
    <row r="291">
      <c r="A291" t="inlineStr"/>
      <c r="B291" t="inlineStr"/>
      <c r="C291" t="inlineStr">
        <is>
          <t>INSULATION</t>
        </is>
      </c>
      <c r="D291">
        <f>U291</f>
        <v/>
      </c>
      <c r="E291" t="n">
        <v>1101733</v>
      </c>
      <c r="F291" t="inlineStr">
        <is>
          <t>SUPERIOR DOWN 3/4 SLEEVE T</t>
        </is>
      </c>
      <c r="G291" t="inlineStr">
        <is>
          <t>DGY      RD</t>
        </is>
      </c>
      <c r="H291" t="inlineStr">
        <is>
          <t>RD</t>
        </is>
      </c>
      <c r="I291">
        <f>VLOOKUP(H291,[1]尺寸簡表!$C$3:$D$1263,2,0)</f>
        <v/>
      </c>
      <c r="J291" t="n">
        <v>5890</v>
      </c>
      <c r="K291" t="inlineStr">
        <is>
          <t>◎ 重量：172g。10D抗撕裂Ballistic®Airlight表布（撥水加工、防靜電）、填充800FP高品質鵝絨。隔間與隔間中間不車死，可減少冷點及減輕重量。
◎ 七分袖設計方便活動，袖子可捲起並用紐帶固定。</t>
        </is>
      </c>
    </row>
    <row r="292">
      <c r="A292" t="inlineStr">
        <is>
          <t>促銷款</t>
        </is>
      </c>
      <c r="B292" t="inlineStr">
        <is>
          <t>活動款</t>
        </is>
      </c>
      <c r="C292" t="inlineStr">
        <is>
          <t>INSULATION</t>
        </is>
      </c>
      <c r="D292">
        <f>U292</f>
        <v/>
      </c>
      <c r="E292" t="n">
        <v>1101661</v>
      </c>
      <c r="F292" t="inlineStr">
        <is>
          <t>SUPERIOR DOWN JACKET MEN'S</t>
        </is>
      </c>
      <c r="G292" t="inlineStr">
        <is>
          <t>BGN      BK      DGN      GY      OG</t>
        </is>
      </c>
      <c r="H292" t="inlineStr">
        <is>
          <t>BGN</t>
        </is>
      </c>
      <c r="I292">
        <f>VLOOKUP(H292,[1]尺寸簡表!$C$3:$D$1263,2,0)</f>
        <v/>
      </c>
      <c r="J292" t="n">
        <v>5200</v>
      </c>
      <c r="K292" t="inlineStr">
        <is>
          <t>◎ 重量：190g。10D抗撕裂Ballistic®Airlight表布（撥水加工、防靜電）、填充800FP高品質鵝絨。隔間與隔間中間不車死，可減少冷點及減輕重量。</t>
        </is>
      </c>
    </row>
    <row r="293">
      <c r="A293" t="inlineStr">
        <is>
          <t>促銷款</t>
        </is>
      </c>
      <c r="B293" t="inlineStr">
        <is>
          <t>活動款</t>
        </is>
      </c>
      <c r="C293" t="inlineStr">
        <is>
          <t>INSULATION</t>
        </is>
      </c>
      <c r="D293">
        <f>U293</f>
        <v/>
      </c>
      <c r="E293" t="n">
        <v>1101662</v>
      </c>
      <c r="F293" t="inlineStr">
        <is>
          <t>SUPERIOR DOWN JACKET WOMEN'S</t>
        </is>
      </c>
      <c r="G293" t="inlineStr">
        <is>
          <t>BGN      IV      LV      NV</t>
        </is>
      </c>
      <c r="H293" t="inlineStr">
        <is>
          <t>NV</t>
        </is>
      </c>
      <c r="I293">
        <f>VLOOKUP(H293,[1]尺寸簡表!$C$3:$D$1263,2,0)</f>
        <v/>
      </c>
      <c r="J293" t="n">
        <v>5140</v>
      </c>
      <c r="K293" t="inlineStr">
        <is>
          <t>◎ 重量：160g。10D抗撕裂Ballistic®Airlight表布（撥水加工、防靜電）、填充800FP高品質鵝絨。隔間與隔間中間不車死，可減少冷點及減輕重量。</t>
        </is>
      </c>
    </row>
    <row r="294">
      <c r="A294" t="inlineStr"/>
      <c r="B294" t="inlineStr"/>
      <c r="C294" t="inlineStr">
        <is>
          <t>INSULATION</t>
        </is>
      </c>
      <c r="D294">
        <f>U294</f>
        <v/>
      </c>
      <c r="E294" t="n">
        <v>1101471</v>
      </c>
      <c r="F294" t="inlineStr">
        <is>
          <t>SUPERIOR DOWN PANTS MEN'S</t>
        </is>
      </c>
      <c r="G294" t="inlineStr">
        <is>
          <t>BK      PAPRI      PUID</t>
        </is>
      </c>
      <c r="H294" t="inlineStr">
        <is>
          <t>BK</t>
        </is>
      </c>
      <c r="I294">
        <f>VLOOKUP(H294,[1]尺寸簡表!$C$3:$D$1263,2,0)</f>
        <v/>
      </c>
      <c r="J294" t="n">
        <v>5220</v>
      </c>
      <c r="K294" t="inlineStr">
        <is>
          <t>◎ 重量：226g。10D抗撕裂Ballistic®Airlight表布（撥水加工、防靜電）、填充800FP高品質鵝絨。隔間與隔間中間不車死，可減少冷點及減輕重量。</t>
        </is>
      </c>
    </row>
    <row r="295">
      <c r="A295" t="inlineStr"/>
      <c r="B295" t="inlineStr"/>
      <c r="C295" t="inlineStr">
        <is>
          <t>INSULATION</t>
        </is>
      </c>
      <c r="D295">
        <f>U295</f>
        <v/>
      </c>
      <c r="E295" t="n">
        <v>1101472</v>
      </c>
      <c r="F295" t="inlineStr">
        <is>
          <t>SUPERIOR DOWN PANTS WOMEN'S</t>
        </is>
      </c>
      <c r="G295" t="inlineStr">
        <is>
          <t>BK      PAPRI      PUID</t>
        </is>
      </c>
      <c r="H295" t="inlineStr">
        <is>
          <t>PAPRI</t>
        </is>
      </c>
      <c r="I295">
        <f>VLOOKUP(H295,[1]尺寸簡表!$C$3:$D$1263,2,0)</f>
        <v/>
      </c>
      <c r="J295" t="n">
        <v>5120</v>
      </c>
      <c r="K295" t="inlineStr">
        <is>
          <t>◎ 重量：195g。10D抗撕裂Ballistic®Airlight表布（撥水加工、防靜電）、填充800FP高品質鵝絨。隔間與隔間中間不車死，可減少冷點及減輕重量。</t>
        </is>
      </c>
    </row>
    <row r="296">
      <c r="A296" t="inlineStr"/>
      <c r="B296" t="inlineStr"/>
      <c r="C296" t="inlineStr">
        <is>
          <t>INSULATION</t>
        </is>
      </c>
      <c r="D296">
        <f>U296</f>
        <v/>
      </c>
      <c r="E296" t="n">
        <v>1101659</v>
      </c>
      <c r="F296" t="inlineStr">
        <is>
          <t>SUPERIOR DOWN PARKA MEN'S</t>
        </is>
      </c>
      <c r="G296" t="inlineStr">
        <is>
          <t>BGN      BK      CN      GY      RD</t>
        </is>
      </c>
      <c r="I296">
        <f>VLOOKUP(H296,[1]尺寸簡表!$C$3:$D$1263,2,0)</f>
        <v/>
      </c>
      <c r="J296" t="n">
        <v>7160</v>
      </c>
      <c r="K296" t="inlineStr">
        <is>
          <t>◎ 重量：239g。10D抗撕裂Ballistic®Airlight表布（撥水加工、防靜電）、填充800FP高品質鵝絨。隔間與隔間中間不車死，可減少冷點及減輕重量。</t>
        </is>
      </c>
    </row>
    <row r="297">
      <c r="A297" t="inlineStr"/>
      <c r="B297" t="inlineStr"/>
      <c r="C297" t="inlineStr">
        <is>
          <t>INSULATION</t>
        </is>
      </c>
      <c r="D297">
        <f>U297</f>
        <v/>
      </c>
      <c r="E297" t="n">
        <v>1101660</v>
      </c>
      <c r="F297" t="inlineStr">
        <is>
          <t>SUPERIOR DOWN PARKA WOMEN'S</t>
        </is>
      </c>
      <c r="G297" t="inlineStr">
        <is>
          <t>BGN      IV      LV      NV</t>
        </is>
      </c>
      <c r="H297" t="inlineStr">
        <is>
          <t>NV</t>
        </is>
      </c>
      <c r="I297">
        <f>VLOOKUP(H297,[1]尺寸簡表!$C$3:$D$1263,2,0)</f>
        <v/>
      </c>
      <c r="J297" t="n">
        <v>6750</v>
      </c>
      <c r="K297" t="inlineStr">
        <is>
          <t>◎ 重量：202g。10D抗撕裂Ballistic®Airlight表布（撥水加工、防靜電）、填充800FP高品質鵝絨。隔間與隔間中間不車死，可減少冷點及減輕重量。</t>
        </is>
      </c>
    </row>
    <row r="298">
      <c r="A298" t="inlineStr"/>
      <c r="B298" t="inlineStr"/>
      <c r="C298" t="inlineStr">
        <is>
          <t>INSULATION</t>
        </is>
      </c>
      <c r="D298">
        <f>U298</f>
        <v/>
      </c>
      <c r="E298" t="n">
        <v>1101666</v>
      </c>
      <c r="F298" t="inlineStr">
        <is>
          <t>SUPERIOR DOWN ROUND NECK JACKET MEN'S</t>
        </is>
      </c>
      <c r="G298" t="inlineStr">
        <is>
          <t>BK      BN      DGN      LGY      TN25</t>
        </is>
      </c>
      <c r="H298" t="inlineStr">
        <is>
          <t>TN25</t>
        </is>
      </c>
      <c r="I298">
        <f>VLOOKUP(H298,[1]尺寸簡表!$C$3:$D$1263,2,0)</f>
        <v/>
      </c>
      <c r="J298" t="n">
        <v>4300</v>
      </c>
      <c r="K298" t="inlineStr">
        <is>
          <t>◎ 重量：165g。表布：20D Ballistic®抗撕裂尼龍布（撥水加工）、內裡10D抗撕裂超輕量Ballistic®Airlight尼龍（撥水、抗靜電加工）、填充800FP高品質鵝絨。
◎ 圓領設計，鈕扣開闔方便使用。隔間與隔間中間不車死，可減少冷點及減輕重量。</t>
        </is>
      </c>
    </row>
    <row r="299">
      <c r="A299" t="inlineStr"/>
      <c r="B299" t="inlineStr"/>
      <c r="C299" t="inlineStr">
        <is>
          <t>INSULATION</t>
        </is>
      </c>
      <c r="D299">
        <f>U299</f>
        <v/>
      </c>
      <c r="E299" t="n">
        <v>1101667</v>
      </c>
      <c r="F299" t="inlineStr">
        <is>
          <t>SUPERIOR DOWN ROUND NECK JACKET WOMEN'S</t>
        </is>
      </c>
      <c r="G299" t="inlineStr">
        <is>
          <t>BK      GAR      KH      TQ      YL</t>
        </is>
      </c>
      <c r="H299" t="inlineStr">
        <is>
          <t>YL      TQ</t>
        </is>
      </c>
      <c r="I299">
        <f>VLOOKUP(H299,[1]尺寸簡表!$C$3:$D$1263,2,0)</f>
        <v/>
      </c>
      <c r="J299" t="n">
        <v>4200</v>
      </c>
      <c r="K299" t="inlineStr">
        <is>
          <t>◎ 重量：145g。表布：20D Ballistic®抗撕裂尼龍布（撥水加工）、內裡10D抗撕裂超輕量Ballistic®Airlight尼龍（撥水、抗靜電加工）、填充800FP高品質鵝絨。
◎ 圓領設計，鈕扣開闔方便使用。隔間與隔間中間不車死，可減少冷點及減輕重量。</t>
        </is>
      </c>
    </row>
    <row r="300">
      <c r="A300" t="inlineStr"/>
      <c r="B300" t="inlineStr"/>
      <c r="C300" t="inlineStr">
        <is>
          <t>INSULATION</t>
        </is>
      </c>
      <c r="D300">
        <f>U300</f>
        <v/>
      </c>
      <c r="E300" t="n">
        <v>1101668</v>
      </c>
      <c r="F300" t="inlineStr">
        <is>
          <t>SUPERIOR DOWN ROUND NECK T MEN'S</t>
        </is>
      </c>
      <c r="G300" t="inlineStr">
        <is>
          <t>BK      DGN</t>
        </is>
      </c>
      <c r="I300">
        <f>VLOOKUP(H300,[1]尺寸簡表!$C$3:$D$1263,2,0)</f>
        <v/>
      </c>
      <c r="J300" t="n">
        <v>4180</v>
      </c>
      <c r="K300" t="inlineStr">
        <is>
          <t>◎ 重量：136g。表布：20D Ballistic®抗撕裂尼龍布（撥水加工）、內裡10D抗撕裂超輕量Ballistic®Airlight尼龍（撥水、抗靜電加工）、填充800FP高品質鵝絨。
◎ 圓領設計，鈕扣開闔方便使用。隔間與隔間中間不車死，可減少冷點及減輕重量。</t>
        </is>
      </c>
    </row>
    <row r="301">
      <c r="A301" t="inlineStr"/>
      <c r="B301" t="inlineStr"/>
      <c r="C301" t="inlineStr">
        <is>
          <t>INSULATION</t>
        </is>
      </c>
      <c r="D301">
        <f>U301</f>
        <v/>
      </c>
      <c r="E301" t="n">
        <v>1101669</v>
      </c>
      <c r="F301" t="inlineStr">
        <is>
          <t>SUPERIOR DOWN ROUND NECK T WOMEN'S</t>
        </is>
      </c>
      <c r="G301" t="inlineStr">
        <is>
          <t>BK      GAR      YL</t>
        </is>
      </c>
      <c r="I301">
        <f>VLOOKUP(H301,[1]尺寸簡表!$C$3:$D$1263,2,0)</f>
        <v/>
      </c>
      <c r="J301" t="n">
        <v>4100</v>
      </c>
      <c r="K301" t="inlineStr">
        <is>
          <t>◎ 重量：117g。表布：20D Ballistic®抗撕裂尼龍布（撥水加工）、內裡10D抗撕裂超輕量Ballistic®Airlight尼龍（撥水、抗靜電加工）、填充800FP高品質鵝絨。
◎ 圓領設計，鈕扣開闔方便使用。隔間與隔間中間不車死，可減少冷點及減輕重量。</t>
        </is>
      </c>
    </row>
    <row r="302">
      <c r="A302" t="inlineStr"/>
      <c r="B302" t="inlineStr"/>
      <c r="C302" t="inlineStr">
        <is>
          <t>INSULATION</t>
        </is>
      </c>
      <c r="D302">
        <f>U302</f>
        <v/>
      </c>
      <c r="E302" t="n">
        <v>1101670</v>
      </c>
      <c r="F302" t="inlineStr">
        <is>
          <t>SUPERIOR DOWN ROUND NECK VEST MEN'S</t>
        </is>
      </c>
      <c r="G302" t="inlineStr">
        <is>
          <t>BK      TN</t>
        </is>
      </c>
      <c r="H302" t="inlineStr">
        <is>
          <t>TN</t>
        </is>
      </c>
      <c r="I302">
        <f>VLOOKUP(H302,[1]尺寸簡表!$C$3:$D$1263,2,0)</f>
        <v/>
      </c>
      <c r="J302" t="n">
        <v>3500</v>
      </c>
      <c r="K302" t="inlineStr">
        <is>
          <t>◎ 重量：117g。表布：20D Ballistic®抗撕裂尼龍布（撥水加工）、內裡10D抗撕裂超輕量Ballistic®Airlight尼龍（撥水、抗靜電加工）、填充800FP高品質鵝絨。
◎ 圓領設計，鈕扣開闔方便使用。隔間與隔間中間不車死，可減少冷點及減輕重量。</t>
        </is>
      </c>
    </row>
    <row r="303">
      <c r="A303" t="inlineStr"/>
      <c r="B303" t="inlineStr"/>
      <c r="C303" t="inlineStr">
        <is>
          <t>INSULATION</t>
        </is>
      </c>
      <c r="D303">
        <f>U303</f>
        <v/>
      </c>
      <c r="E303" t="n">
        <v>1101671</v>
      </c>
      <c r="F303" t="inlineStr">
        <is>
          <t>SUPERIOR DOWN ROUND NECK VEST WOMEN'S</t>
        </is>
      </c>
      <c r="G303" t="inlineStr">
        <is>
          <t>BK      KH      YL</t>
        </is>
      </c>
      <c r="H303" t="inlineStr">
        <is>
          <t>YL</t>
        </is>
      </c>
      <c r="I303">
        <f>VLOOKUP(H303,[1]尺寸簡表!$C$3:$D$1263,2,0)</f>
        <v/>
      </c>
      <c r="J303" t="n">
        <v>3400</v>
      </c>
      <c r="K303" t="inlineStr">
        <is>
          <t>◎ 重量：105g。表布：20D Ballistic®抗撕裂尼龍布（撥水加工）、內裡10D抗撕裂超輕量Ballistic®Airlight尼龍（撥水、抗靜電加工）、填充800FP高品質鵝絨。
◎ 圓領設計，鈕扣開闔方便使用。隔間與隔間中間不車死，可減少冷點及減輕重量。</t>
        </is>
      </c>
    </row>
    <row r="304">
      <c r="A304" t="inlineStr"/>
      <c r="B304" t="inlineStr"/>
      <c r="C304" t="inlineStr">
        <is>
          <t>INSULATION</t>
        </is>
      </c>
      <c r="D304">
        <f>U304</f>
        <v/>
      </c>
      <c r="E304" t="n">
        <v>1101665</v>
      </c>
      <c r="F304" t="inlineStr">
        <is>
          <t>SUPERIOR DOWN T</t>
        </is>
      </c>
      <c r="G304" t="inlineStr">
        <is>
          <t>BK      BN</t>
        </is>
      </c>
      <c r="I304">
        <f>VLOOKUP(H304,[1]尺寸簡表!$C$3:$D$1263,2,0)</f>
        <v/>
      </c>
      <c r="J304" t="n">
        <v>5400</v>
      </c>
      <c r="K304" t="inlineStr">
        <is>
          <t>◎ 重量：158g。表布：20D Ballistic®抗撕裂尼龍布（撥水加工）、內裡10D抗撕裂超輕量Ballistic®Airlight尼龍（撥水、抗靜電加工）、填充800FP高品質鵝絨。
◎ 圓領設計，鈕扣開闔方便使用。隔間與隔間中間不車死，可減少冷點及減輕重量。</t>
        </is>
      </c>
    </row>
    <row r="305">
      <c r="A305" t="inlineStr">
        <is>
          <t>促銷款</t>
        </is>
      </c>
      <c r="B305" t="inlineStr">
        <is>
          <t>活動款</t>
        </is>
      </c>
      <c r="C305" t="inlineStr">
        <is>
          <t>INSULATION</t>
        </is>
      </c>
      <c r="D305">
        <f>U305</f>
        <v/>
      </c>
      <c r="E305" t="n">
        <v>1101663</v>
      </c>
      <c r="F305" t="inlineStr">
        <is>
          <t>SUPERIOR DOWN VEST MEN'S</t>
        </is>
      </c>
      <c r="G305" t="inlineStr">
        <is>
          <t>BK      WRD</t>
        </is>
      </c>
      <c r="H305" t="inlineStr">
        <is>
          <t>BK</t>
        </is>
      </c>
      <c r="I305">
        <f>VLOOKUP(H305,[1]尺寸簡表!$C$3:$D$1263,2,0)</f>
        <v/>
      </c>
      <c r="J305" t="n">
        <v>4140</v>
      </c>
      <c r="K305" t="inlineStr">
        <is>
          <t>◎ 重量：143g。10D抗撕裂Ballistic®Airlight表布（撥水加工、防靜電）、填充800FP高品質鵝絨。隔間與隔間中間不車死，可減少冷點及減輕重量。</t>
        </is>
      </c>
    </row>
    <row r="306">
      <c r="A306" t="inlineStr">
        <is>
          <t>促銷款</t>
        </is>
      </c>
      <c r="B306" t="inlineStr">
        <is>
          <t>活動款</t>
        </is>
      </c>
      <c r="C306" t="inlineStr">
        <is>
          <t>INSULATION</t>
        </is>
      </c>
      <c r="D306">
        <f>U306</f>
        <v/>
      </c>
      <c r="E306" t="n">
        <v>1101664</v>
      </c>
      <c r="F306" t="inlineStr">
        <is>
          <t>SUPERIOR DOWN VEST WOMEN'S</t>
        </is>
      </c>
      <c r="G306" t="inlineStr">
        <is>
          <t>IV      NV</t>
        </is>
      </c>
      <c r="H306" t="inlineStr">
        <is>
          <t>IV</t>
        </is>
      </c>
      <c r="I306">
        <f>VLOOKUP(H306,[1]尺寸簡表!$C$3:$D$1263,2,0)</f>
        <v/>
      </c>
      <c r="J306" t="n">
        <v>4060</v>
      </c>
      <c r="K306" t="inlineStr">
        <is>
          <t>◎ 重量：124g。10D抗撕裂Ballistic®Airlight表布（撥水加工、防靜電）、填充800FP高品質鵝絨。隔間與隔間中間不車死，可減少冷點及減輕重量。</t>
        </is>
      </c>
    </row>
    <row r="307">
      <c r="A307" t="inlineStr"/>
      <c r="B307" t="inlineStr"/>
      <c r="C307" t="inlineStr">
        <is>
          <t>INSULATION</t>
        </is>
      </c>
      <c r="D307">
        <f>U307</f>
        <v/>
      </c>
      <c r="E307" t="n">
        <v>1101672</v>
      </c>
      <c r="F307" t="inlineStr">
        <is>
          <t>SUPERIOR DOWN V-NECK VEST MEN'S</t>
        </is>
      </c>
      <c r="G307" t="inlineStr">
        <is>
          <t>BK      NV</t>
        </is>
      </c>
      <c r="H307" t="inlineStr">
        <is>
          <t>BK</t>
        </is>
      </c>
      <c r="I307">
        <f>VLOOKUP(H307,[1]尺寸簡表!$C$3:$D$1263,2,0)</f>
        <v/>
      </c>
      <c r="J307" t="n">
        <v>3820</v>
      </c>
      <c r="K307" t="inlineStr">
        <is>
          <t>◎ 重量：110g。表布：20D Ballistic®抗撕裂尼龍布（撥水加工）、內裡10D抗撕裂超輕量Ballistic®Airlight尼龍（撥水、抗靜電加工）、填充800FP高品質鵝絨。
◎ 圓領設計，鈕扣開闔方便使用。隔間與隔間中間不車死，可減少冷點及減輕重量。</t>
        </is>
      </c>
    </row>
    <row r="308">
      <c r="A308" t="inlineStr"/>
      <c r="B308" t="inlineStr"/>
      <c r="C308" t="inlineStr">
        <is>
          <t>INSULATION</t>
        </is>
      </c>
      <c r="D308">
        <f>U308</f>
        <v/>
      </c>
      <c r="E308" t="n">
        <v>1101539</v>
      </c>
      <c r="F308" t="inlineStr">
        <is>
          <t>U.L. THERMAWRAP JACKET MEN'S</t>
        </is>
      </c>
      <c r="G308" t="inlineStr">
        <is>
          <t>BK      LGY      NV      OG24</t>
        </is>
      </c>
      <c r="H308" t="inlineStr">
        <is>
          <t>NV      OG24</t>
        </is>
      </c>
      <c r="I308">
        <f>VLOOKUP(H308,[1]尺寸簡表!$C$3:$D$1263,2,0)</f>
        <v/>
      </c>
      <c r="J308" t="n">
        <v>4800</v>
      </c>
      <c r="K308" t="inlineStr">
        <is>
          <t>◎ 重量：229g。表布：12D Ballistic®Airlight抗撕裂尼龍（撥水加工）、肩部、腋下及手臂：15D Ballistic®Airlight抗撕裂尼龍（撥水加工）、填充STRETCH EXCELOFT®專利中空纖維。</t>
        </is>
      </c>
    </row>
    <row r="309">
      <c r="A309" t="inlineStr"/>
      <c r="B309" t="inlineStr"/>
      <c r="C309" t="inlineStr">
        <is>
          <t>INSULATION</t>
        </is>
      </c>
      <c r="D309">
        <f>U309</f>
        <v/>
      </c>
      <c r="E309" t="n">
        <v>1101598</v>
      </c>
      <c r="F309" t="inlineStr">
        <is>
          <t>U.L. THERMAWRAP JACKET WOMEN'S</t>
        </is>
      </c>
      <c r="G309" t="inlineStr">
        <is>
          <t>BGN      NV1      YL</t>
        </is>
      </c>
      <c r="H309" t="inlineStr">
        <is>
          <t>BGN</t>
        </is>
      </c>
      <c r="I309">
        <f>VLOOKUP(H309,[1]尺寸簡表!$C$3:$D$1263,2,0)</f>
        <v/>
      </c>
      <c r="J309" t="n">
        <v>4600</v>
      </c>
      <c r="K309" t="inlineStr">
        <is>
          <t>◎ 重量：194g。表布：12D Ballistic®Airlight抗撕裂尼龍（撥水加工）、肩部、腋下及手臂：15D Ballistic®Airlight抗撕裂尼龍（撥水加工）、填充STRETCH EXCELOFT®專利中空纖維。</t>
        </is>
      </c>
    </row>
    <row r="310">
      <c r="A310" t="inlineStr"/>
      <c r="B310" t="inlineStr"/>
      <c r="C310" t="inlineStr">
        <is>
          <t>INSULATION</t>
        </is>
      </c>
      <c r="D310">
        <f>U310</f>
        <v/>
      </c>
      <c r="E310" t="n">
        <v>1101543</v>
      </c>
      <c r="F310" t="inlineStr">
        <is>
          <t>U.L. THERMAWRAP PANTS</t>
        </is>
      </c>
      <c r="G310" t="inlineStr">
        <is>
          <t>BK      TAUPE</t>
        </is>
      </c>
      <c r="H310" t="inlineStr">
        <is>
          <t>TAUPE</t>
        </is>
      </c>
      <c r="I310">
        <f>VLOOKUP(H310,[1]尺寸簡表!$C$3:$D$1263,2,0)</f>
        <v/>
      </c>
      <c r="J310" t="n">
        <v>4250</v>
      </c>
      <c r="K310" t="inlineStr">
        <is>
          <t>◎ 重量：207g。表布：15D Ballistic®抗撕裂尼龍（撥水加工）、填充STRETCH EXCELOFT®專利中空纖維、三枚差保暖設計。</t>
        </is>
      </c>
    </row>
    <row r="311">
      <c r="A311" t="inlineStr"/>
      <c r="B311" t="inlineStr"/>
      <c r="C311" t="inlineStr">
        <is>
          <t>INSULATION</t>
        </is>
      </c>
      <c r="D311">
        <f>U311</f>
        <v/>
      </c>
      <c r="E311" t="n">
        <v>1101538</v>
      </c>
      <c r="F311" t="inlineStr">
        <is>
          <t>U.L. THERMAWRAP PARKA MEN'S</t>
        </is>
      </c>
      <c r="G311" t="inlineStr">
        <is>
          <t>BK24      NV      OG1</t>
        </is>
      </c>
      <c r="H311" t="inlineStr">
        <is>
          <t>NV      BK24</t>
        </is>
      </c>
      <c r="I311">
        <f>VLOOKUP(H311,[1]尺寸簡表!$C$3:$D$1263,2,0)</f>
        <v/>
      </c>
      <c r="J311" t="n">
        <v>5950</v>
      </c>
      <c r="K311" t="inlineStr">
        <is>
          <t>◎ 重量：252g。表布：12D Ballistic®Airlight抗撕裂尼龍（撥水加工）、肩部、腋下及手臂：15D Ballistic®Airlight抗撕裂尼龍（撥水加工）、填充STRETCH EXCELOFT®專利中空纖維。</t>
        </is>
      </c>
    </row>
    <row r="312">
      <c r="A312" t="inlineStr"/>
      <c r="B312" t="inlineStr"/>
      <c r="C312" t="inlineStr">
        <is>
          <t>INSULATION</t>
        </is>
      </c>
      <c r="D312">
        <f>U312</f>
        <v/>
      </c>
      <c r="E312" t="n">
        <v>1101597</v>
      </c>
      <c r="F312" t="inlineStr">
        <is>
          <t>U.L. THERMAWRAP PARKA WOMEN'S</t>
        </is>
      </c>
      <c r="G312" t="inlineStr">
        <is>
          <t>LGY24      NV      YL</t>
        </is>
      </c>
      <c r="H312" t="inlineStr">
        <is>
          <t>LGY24</t>
        </is>
      </c>
      <c r="I312">
        <f>VLOOKUP(H312,[1]尺寸簡表!$C$3:$D$1263,2,0)</f>
        <v/>
      </c>
      <c r="J312" t="n">
        <v>5780</v>
      </c>
      <c r="K312" t="inlineStr">
        <is>
          <t>◎ 重量：217g。表布：12D Ballistic®Airlight抗撕裂尼龍（撥水加工）、肩部、腋下及手臂：15D Ballistic®Airlight抗撕裂尼龍（撥水加工）、填充STRETCH EXCELOFT®專利中空纖維。</t>
        </is>
      </c>
    </row>
    <row r="313">
      <c r="A313" t="inlineStr"/>
      <c r="B313" t="inlineStr"/>
      <c r="C313" t="inlineStr">
        <is>
          <t>INSULATION</t>
        </is>
      </c>
      <c r="D313">
        <f>U313</f>
        <v/>
      </c>
      <c r="E313" t="n">
        <v>1101734</v>
      </c>
      <c r="F313" t="inlineStr">
        <is>
          <t>U.L. THERMAWRAP ROUND NECK 3/4 SLEEVE T</t>
        </is>
      </c>
      <c r="G313" t="inlineStr">
        <is>
          <t>BK      GY</t>
        </is>
      </c>
      <c r="H313" t="inlineStr">
        <is>
          <t>GY</t>
        </is>
      </c>
      <c r="I313">
        <f>VLOOKUP(H313,[1]尺寸簡表!$C$3:$D$1263,2,0)</f>
        <v/>
      </c>
      <c r="J313" t="n">
        <v>4610</v>
      </c>
      <c r="K313" t="inlineStr">
        <is>
          <t>◎ 重量：205g。材質：主體/12D Ballistic Airlight®抗撕裂尼龍布（撥水加工），側面/15D Ballistic Airlight®抗撕裂尼龍布（撥水加工），內層/STRETCH EXCELOFT®彈性保暖纖維。
◎ 圓領化纖，七分袖設計方便活動，袖子可捲起並用紐帶固定。</t>
        </is>
      </c>
    </row>
    <row r="314">
      <c r="A314" t="inlineStr"/>
      <c r="B314" t="inlineStr"/>
      <c r="C314" t="inlineStr">
        <is>
          <t>INSULATION</t>
        </is>
      </c>
      <c r="D314">
        <f>U314</f>
        <v/>
      </c>
      <c r="E314" t="n">
        <v>1101692</v>
      </c>
      <c r="F314" t="inlineStr">
        <is>
          <t>U.L. THERMAWRAP ROUND NECK VEST MEN'S</t>
        </is>
      </c>
      <c r="G314" t="inlineStr">
        <is>
          <t>BK      NV</t>
        </is>
      </c>
      <c r="H314" t="inlineStr">
        <is>
          <t>NV</t>
        </is>
      </c>
      <c r="I314">
        <f>VLOOKUP(H314,[1]尺寸簡表!$C$3:$D$1263,2,0)</f>
        <v/>
      </c>
      <c r="J314" t="n">
        <v>3600</v>
      </c>
      <c r="K314" t="inlineStr">
        <is>
          <t>◎ 重量：128g。表布：12D Ballistic®Airlight抗撕裂尼龍（撥水加工）、填充：STRETCH EXCELOFT®彈性保暖纖維。
◎ 輕量又保暖的化纖背心，圓領設計適合搭配各式服飾。</t>
        </is>
      </c>
    </row>
    <row r="315">
      <c r="A315" t="inlineStr"/>
      <c r="B315" t="inlineStr"/>
      <c r="C315" t="inlineStr">
        <is>
          <t>INSULATION</t>
        </is>
      </c>
      <c r="D315">
        <f>U315</f>
        <v/>
      </c>
      <c r="E315" t="n">
        <v>1101693</v>
      </c>
      <c r="F315" t="inlineStr">
        <is>
          <t>U.L. THERMAWRAP ROUND NECK VEST WOMEN'S</t>
        </is>
      </c>
      <c r="G315" t="inlineStr">
        <is>
          <t>GY      NV1</t>
        </is>
      </c>
      <c r="H315" t="inlineStr">
        <is>
          <t>GY</t>
        </is>
      </c>
      <c r="I315">
        <f>VLOOKUP(H315,[1]尺寸簡表!$C$3:$D$1263,2,0)</f>
        <v/>
      </c>
      <c r="J315" t="n">
        <v>3490</v>
      </c>
      <c r="K315" t="inlineStr">
        <is>
          <t>◎ 表布：12D Ballistic®Airlight抗撕裂尼龍（撥水加工）、填充：STRETCH EXCELOFT®彈性保暖纖維。
◎ 輕量又保暖的化纖背心，圓領設計適合搭配各式服飾。</t>
        </is>
      </c>
    </row>
    <row r="316">
      <c r="A316" t="inlineStr"/>
      <c r="B316" t="inlineStr"/>
      <c r="C316" t="inlineStr">
        <is>
          <t>INSULATION</t>
        </is>
      </c>
      <c r="D316">
        <f>U316</f>
        <v/>
      </c>
      <c r="E316" t="n">
        <v>1101563</v>
      </c>
      <c r="F316" t="inlineStr">
        <is>
          <t>U.L. THERMAWRAP T</t>
        </is>
      </c>
      <c r="G316" t="inlineStr">
        <is>
          <t>GY      NV</t>
        </is>
      </c>
      <c r="H316" t="inlineStr">
        <is>
          <t>NV      GY</t>
        </is>
      </c>
      <c r="I316">
        <f>VLOOKUP(H316,[1]尺寸簡表!$C$3:$D$1263,2,0)</f>
        <v/>
      </c>
      <c r="J316" t="n">
        <v>3960</v>
      </c>
      <c r="K316" t="inlineStr">
        <is>
          <t>◎ 重量：185g。表布：12D Ballistic®Airlight抗撕裂尼龍（撥水加工）、側邊：15D Ballistic®Airlight抗撕裂尼龍（撥水加工）、填充STRETCH EXCELOFT®專利中空纖維、三枚差保暖設計。</t>
        </is>
      </c>
    </row>
    <row r="317">
      <c r="A317" t="inlineStr"/>
      <c r="B317" t="inlineStr"/>
      <c r="C317" t="inlineStr">
        <is>
          <t>INSULATION</t>
        </is>
      </c>
      <c r="D317">
        <f>U317</f>
        <v/>
      </c>
      <c r="E317" t="n">
        <v>1101541</v>
      </c>
      <c r="F317" t="inlineStr">
        <is>
          <t>U.L. THERMAWRAP VEST MEN'S</t>
        </is>
      </c>
      <c r="G317" t="inlineStr">
        <is>
          <t>BK      GY</t>
        </is>
      </c>
      <c r="H317" t="inlineStr">
        <is>
          <t>GY      BK</t>
        </is>
      </c>
      <c r="I317">
        <f>VLOOKUP(H317,[1]尺寸簡表!$C$3:$D$1263,2,0)</f>
        <v/>
      </c>
      <c r="J317" t="n">
        <v>3400</v>
      </c>
      <c r="K317" t="inlineStr">
        <is>
          <t>◎ 重量：154g。表布：12D Ballistic®Airlight抗撕裂尼龍（撥水加工）、側邊：15D Ballistic®Airlight抗撕裂尼龍（撥水加工）、填充STRETCH EXCELOFT®專利中空纖維。</t>
        </is>
      </c>
    </row>
    <row r="318">
      <c r="A318" t="inlineStr"/>
      <c r="B318" t="inlineStr"/>
      <c r="C318" t="inlineStr">
        <is>
          <t>INSULATION</t>
        </is>
      </c>
      <c r="D318">
        <f>U318</f>
        <v/>
      </c>
      <c r="E318" t="n">
        <v>1101599</v>
      </c>
      <c r="F318" t="inlineStr">
        <is>
          <t>U.L. THERMAWRAP VEST WOMEN'S</t>
        </is>
      </c>
      <c r="G318" t="inlineStr">
        <is>
          <t>LGY24      NV1</t>
        </is>
      </c>
      <c r="H318" t="inlineStr">
        <is>
          <t>LGY24</t>
        </is>
      </c>
      <c r="I318">
        <f>VLOOKUP(H318,[1]尺寸簡表!$C$3:$D$1263,2,0)</f>
        <v/>
      </c>
      <c r="J318" t="n">
        <v>3400</v>
      </c>
      <c r="K318" t="inlineStr">
        <is>
          <t>◎ 重量：135g。表布：12D Ballistic®Airlight抗撕裂尼龍（撥水加工）、側邊：15D Ballistic®Airlight抗撕裂尼龍（撥水加工）、填充STRETCH EXCELOFT®專利中空纖維。</t>
        </is>
      </c>
    </row>
    <row r="319">
      <c r="A319" t="inlineStr"/>
      <c r="B319" t="inlineStr"/>
      <c r="C319" t="inlineStr">
        <is>
          <t>KIDS &amp; BABY</t>
        </is>
      </c>
      <c r="D319">
        <f>U319</f>
        <v/>
      </c>
      <c r="E319" t="n">
        <v>1105762</v>
      </c>
      <c r="F319" t="inlineStr">
        <is>
          <t>ALPINE THERMAL EASY-FIT PANTS KID'S</t>
        </is>
      </c>
      <c r="G319" t="inlineStr">
        <is>
          <t>BK      DTL</t>
        </is>
      </c>
      <c r="H319" t="inlineStr">
        <is>
          <t>BK</t>
        </is>
      </c>
      <c r="I319">
        <f>VLOOKUP(H319,[1]尺寸簡表!$C$3:$D$1263,2,0)</f>
        <v/>
      </c>
      <c r="J319" t="n">
        <v>2450</v>
      </c>
      <c r="K319" t="inlineStr">
        <is>
          <t>◎ 材質：CLIMAPRO™200（尼龍61%+聚酯纖維29%+聚氨酯10%），撥水加工。
◎ 防風速乾、保暖性佳，有彈性的保暖褲（抽繩褲頭）。</t>
        </is>
      </c>
    </row>
    <row r="320">
      <c r="A320" t="inlineStr"/>
      <c r="B320" t="inlineStr"/>
      <c r="C320" t="inlineStr">
        <is>
          <t>KIDS &amp; BABY</t>
        </is>
      </c>
      <c r="D320">
        <f>U320</f>
        <v/>
      </c>
      <c r="E320" t="n">
        <v>1105763</v>
      </c>
      <c r="F320" t="inlineStr">
        <is>
          <t>ALPINE THERMAL EASY-FIT PANTS KID'S</t>
        </is>
      </c>
      <c r="G320" t="inlineStr">
        <is>
          <t>BK      DTL</t>
        </is>
      </c>
      <c r="I320">
        <f>VLOOKUP(H320,[1]尺寸簡表!$C$3:$D$1263,2,0)</f>
        <v/>
      </c>
      <c r="J320" t="n">
        <v>2160</v>
      </c>
      <c r="K320" t="inlineStr">
        <is>
          <t>◎ 材質：CLIMAPRO™200（尼龍61%+聚酯纖維29%+聚氨酯10%），撥水加工。
◎ 防風速乾、保暖性佳，有彈性的保暖褲（抽繩褲頭）。</t>
        </is>
      </c>
    </row>
    <row r="321">
      <c r="A321" t="inlineStr"/>
      <c r="B321" t="inlineStr"/>
      <c r="C321" t="inlineStr">
        <is>
          <t>KIDS &amp; BABY</t>
        </is>
      </c>
      <c r="D321">
        <f>U321</f>
        <v/>
      </c>
      <c r="E321" t="n">
        <v>1105766</v>
      </c>
      <c r="F321" t="inlineStr">
        <is>
          <t>ALPINE THERMAL PANTS KID'S</t>
        </is>
      </c>
      <c r="G321" t="inlineStr">
        <is>
          <t>DGN      NV      TN</t>
        </is>
      </c>
      <c r="H321" t="inlineStr">
        <is>
          <t>NV      DGN      TN</t>
        </is>
      </c>
      <c r="I321">
        <f>VLOOKUP(H321,[1]尺寸簡表!$C$3:$D$1263,2,0)</f>
        <v/>
      </c>
      <c r="J321" t="n">
        <v>2520</v>
      </c>
      <c r="K321" t="inlineStr">
        <is>
          <t>◎ 材質：CLIMAPRO™200（尼龍61%+聚酯纖維29%+聚氨酯10%），撥水加工。
◎ 防風速乾、保暖性佳，有彈性的保暖褲（腰帶內建）。</t>
        </is>
      </c>
    </row>
    <row r="322">
      <c r="A322" t="inlineStr"/>
      <c r="B322" t="inlineStr"/>
      <c r="C322" t="inlineStr">
        <is>
          <t>KIDS &amp; BABY</t>
        </is>
      </c>
      <c r="D322">
        <f>U322</f>
        <v/>
      </c>
      <c r="E322" t="n">
        <v>1105767</v>
      </c>
      <c r="F322" t="inlineStr">
        <is>
          <t>ALPINE THERMAL PANTS KID'S</t>
        </is>
      </c>
      <c r="G322" t="inlineStr">
        <is>
          <t>NV      TN</t>
        </is>
      </c>
      <c r="I322">
        <f>VLOOKUP(H322,[1]尺寸簡表!$C$3:$D$1263,2,0)</f>
        <v/>
      </c>
      <c r="J322" t="n">
        <v>2240</v>
      </c>
      <c r="K322" t="inlineStr">
        <is>
          <t>◎ 材質：CLIMAPRO™200（尼龍61%+聚酯纖維29%+聚氨酯10%），撥水加工。
◎ 防風速乾、保暖性佳，有彈性的保暖褲（腰帶內建）。</t>
        </is>
      </c>
    </row>
    <row r="323">
      <c r="A323" t="inlineStr"/>
      <c r="B323" t="inlineStr"/>
      <c r="C323" t="inlineStr">
        <is>
          <t>KIDS &amp; BABY</t>
        </is>
      </c>
      <c r="D323">
        <f>U323</f>
        <v/>
      </c>
      <c r="E323" t="n">
        <v>1118568</v>
      </c>
      <c r="F323" t="inlineStr">
        <is>
          <t>CABLE KNIT WATCH CAP KID'S</t>
        </is>
      </c>
      <c r="G323" t="inlineStr">
        <is>
          <t>BL      OG      PK</t>
        </is>
      </c>
      <c r="H323" t="inlineStr">
        <is>
          <t>BL</t>
        </is>
      </c>
      <c r="J323" t="n">
        <v>1190</v>
      </c>
      <c r="K323" t="inlineStr">
        <is>
          <t>◎ 頭圍：51~54cm。表布：羊毛15%+壓克力纖維85%、內裡：聚酯纖維70%+壓克力纖維30%。</t>
        </is>
      </c>
    </row>
    <row r="324">
      <c r="A324" t="inlineStr"/>
      <c r="B324" t="inlineStr"/>
      <c r="C324" t="inlineStr">
        <is>
          <t>KIDS &amp; BABY</t>
        </is>
      </c>
      <c r="D324">
        <f>U324</f>
        <v/>
      </c>
      <c r="E324" t="n">
        <v>1118187</v>
      </c>
      <c r="F324" t="inlineStr">
        <is>
          <t>CABLE KNIT WORK CAP KID'S</t>
        </is>
      </c>
      <c r="G324" t="inlineStr">
        <is>
          <t>DNV      GY1      IV</t>
        </is>
      </c>
      <c r="J324" t="n">
        <v>950</v>
      </c>
      <c r="K324" t="inlineStr">
        <is>
          <t>◎ 材質/ 表布：壓克力纖維85%＋羊毛15% ，內裡：聚酯纖維70%＋壓克力纖維30%。
◎ 尺寸：兒童單一尺寸（51～54cm），帽簷5.5cm。
◎ 針織工作帽，保暖性極佳。</t>
        </is>
      </c>
    </row>
    <row r="325">
      <c r="A325" t="inlineStr"/>
      <c r="B325" t="inlineStr"/>
      <c r="C325" t="inlineStr">
        <is>
          <t>KIDS &amp; BABY</t>
        </is>
      </c>
      <c r="D325">
        <f>U325</f>
        <v/>
      </c>
      <c r="E325" t="n">
        <v>1118109</v>
      </c>
      <c r="F325" t="inlineStr">
        <is>
          <t>CHAMEECE CAP WITH EAR WARMER KID'S</t>
        </is>
      </c>
      <c r="G325" t="inlineStr">
        <is>
          <t>LBL      NV1      OG</t>
        </is>
      </c>
      <c r="H325" t="inlineStr">
        <is>
          <t>NV1</t>
        </is>
      </c>
      <c r="J325" t="n">
        <v>620</v>
      </c>
      <c r="K325" t="inlineStr">
        <is>
          <t>◎ 頭圍：51~54cm。CHAMEECE™超細纖維刷毛布料，柔軟親膚、彈性佳，質輕且保暖。</t>
        </is>
      </c>
    </row>
    <row r="326">
      <c r="A326" t="inlineStr"/>
      <c r="B326" t="inlineStr"/>
      <c r="C326" t="inlineStr">
        <is>
          <t>KIDS &amp; BABY</t>
        </is>
      </c>
      <c r="D326">
        <f>U326</f>
        <v/>
      </c>
      <c r="E326" t="n">
        <v>1114822</v>
      </c>
      <c r="F326" t="inlineStr">
        <is>
          <t>CHAMEECE CARDIGAN KID'S</t>
        </is>
      </c>
      <c r="G326" t="inlineStr">
        <is>
          <t>DGN      LGY      NV</t>
        </is>
      </c>
      <c r="H326" t="inlineStr">
        <is>
          <t>LGY      NV</t>
        </is>
      </c>
      <c r="I326">
        <f>VLOOKUP(H326,[1]尺寸簡表!$C$3:$D$1263,2,0)</f>
        <v/>
      </c>
      <c r="J326" t="n">
        <v>1330</v>
      </c>
      <c r="K326" t="inlineStr">
        <is>
          <t>◎ mont-bell獨特的CHAMEECE™材質使用人類毛髮1/10直徑的超細纖維細密編織而成，柔軟親膚、彈性佳，質輕且保暖。
◎ 袖口專利螺紋立體剪裁，服貼腕部，增加活動的舒適性。
◎ 內搭、外穿皆適用。</t>
        </is>
      </c>
    </row>
    <row r="327">
      <c r="A327" t="inlineStr"/>
      <c r="B327" t="inlineStr"/>
      <c r="C327" t="inlineStr">
        <is>
          <t>KIDS &amp; BABY</t>
        </is>
      </c>
      <c r="D327">
        <f>U327</f>
        <v/>
      </c>
      <c r="E327" t="n">
        <v>1114823</v>
      </c>
      <c r="F327" t="inlineStr">
        <is>
          <t>CHAMEECE CARDIGAN KID'S</t>
        </is>
      </c>
      <c r="G327" t="inlineStr">
        <is>
          <t>LGY      NV      YL</t>
        </is>
      </c>
      <c r="I327">
        <f>VLOOKUP(H327,[1]尺寸簡表!$C$3:$D$1263,2,0)</f>
        <v/>
      </c>
      <c r="J327" t="n">
        <v>1230</v>
      </c>
      <c r="K327" t="inlineStr">
        <is>
          <t>◎ mont-bell獨特的CHAMEECE™材質使用人類毛髮1/10直徑的超細纖維細密編織而成，柔軟親膚、彈性佳，質輕且保暖。
◎ 袖口專利螺紋立體剪裁，服貼腕部，增加活動的舒適性。
◎ 內搭、外穿皆適用。</t>
        </is>
      </c>
    </row>
    <row r="328">
      <c r="A328" t="inlineStr"/>
      <c r="B328" t="inlineStr"/>
      <c r="C328" t="inlineStr">
        <is>
          <t>KIDS &amp; BABY</t>
        </is>
      </c>
      <c r="D328">
        <f>U328</f>
        <v/>
      </c>
      <c r="E328" t="n">
        <v>1118222</v>
      </c>
      <c r="F328" t="inlineStr">
        <is>
          <t>CHAMEECE GLOVES KID'S</t>
        </is>
      </c>
      <c r="G328" t="inlineStr">
        <is>
          <t>BL      CPK      DGY      YL25</t>
        </is>
      </c>
      <c r="H328" t="inlineStr">
        <is>
          <t>YL25</t>
        </is>
      </c>
      <c r="I328">
        <f>VLOOKUP(H328,[1]尺寸簡表!$C$3:$D$1263,2,0)</f>
        <v/>
      </c>
      <c r="J328" t="n">
        <v>560</v>
      </c>
      <c r="K328" t="inlineStr">
        <is>
          <t>◎ CHAMEECE™超細纖維刷毛布料，柔軟親膚、彈性佳，質輕且保暖。</t>
        </is>
      </c>
    </row>
    <row r="329">
      <c r="A329" t="inlineStr"/>
      <c r="B329" t="inlineStr"/>
      <c r="C329" t="inlineStr">
        <is>
          <t>KIDS &amp; BABY</t>
        </is>
      </c>
      <c r="D329">
        <f>U329</f>
        <v/>
      </c>
      <c r="E329" t="n">
        <v>1114894</v>
      </c>
      <c r="F329" t="inlineStr">
        <is>
          <t>CHAMEECE JACKET KID'S</t>
        </is>
      </c>
      <c r="G329" t="inlineStr">
        <is>
          <t>IV      LBL      NV</t>
        </is>
      </c>
      <c r="H329" t="inlineStr">
        <is>
          <t>LBL</t>
        </is>
      </c>
      <c r="I329">
        <f>VLOOKUP(H329,[1]尺寸簡表!$C$3:$D$1263,2,0)</f>
        <v/>
      </c>
      <c r="J329" t="n">
        <v>1590</v>
      </c>
      <c r="K329" t="inlineStr">
        <is>
          <t>◎ CHAMEECE™超細纖維，柔軟親膚、彈性佳，質輕且保暖。
◎ 袖口專利螺紋立體剪裁，服貼腕部，增加活動的舒適性。</t>
        </is>
      </c>
    </row>
    <row r="330">
      <c r="A330" t="inlineStr"/>
      <c r="B330" t="inlineStr"/>
      <c r="C330" t="inlineStr">
        <is>
          <t>KIDS &amp; BABY</t>
        </is>
      </c>
      <c r="D330">
        <f>U330</f>
        <v/>
      </c>
      <c r="E330" t="n">
        <v>1114895</v>
      </c>
      <c r="F330" t="inlineStr">
        <is>
          <t>CHAMEECE JACKET KID'S</t>
        </is>
      </c>
      <c r="G330" t="inlineStr">
        <is>
          <t>BL      LGY      OG</t>
        </is>
      </c>
      <c r="H330" t="inlineStr">
        <is>
          <t>OG</t>
        </is>
      </c>
      <c r="I330">
        <f>VLOOKUP(H330,[1]尺寸簡表!$C$3:$D$1263,2,0)</f>
        <v/>
      </c>
      <c r="J330" t="n">
        <v>1340</v>
      </c>
      <c r="K330" t="inlineStr">
        <is>
          <t>◎ CHAMEECE™超細纖維，柔軟親膚、彈性佳，質輕且保暖。
◎ 袖口專利螺紋立體剪裁，服貼腕部，增加活動的舒適性。</t>
        </is>
      </c>
    </row>
    <row r="331">
      <c r="A331" t="inlineStr"/>
      <c r="B331" t="inlineStr"/>
      <c r="C331" t="inlineStr">
        <is>
          <t>KIDS &amp; BABY</t>
        </is>
      </c>
      <c r="D331">
        <f>U331</f>
        <v/>
      </c>
      <c r="E331" t="n">
        <v>1118122</v>
      </c>
      <c r="F331" t="inlineStr">
        <is>
          <t>CHAMEECE MUFFLER KID'S</t>
        </is>
      </c>
      <c r="G331" t="inlineStr">
        <is>
          <t>BL      IV      NV      YL25</t>
        </is>
      </c>
      <c r="H331" t="inlineStr">
        <is>
          <t>BL</t>
        </is>
      </c>
      <c r="J331" t="n">
        <v>390</v>
      </c>
      <c r="K331" t="inlineStr">
        <is>
          <t>◎ 長度：130×20cm。CHAMEECE™超細纖維刷毛布料，柔軟親膚、彈性佳，質輕且保暖。</t>
        </is>
      </c>
    </row>
    <row r="332">
      <c r="A332" t="inlineStr"/>
      <c r="B332" t="inlineStr"/>
      <c r="C332" t="inlineStr">
        <is>
          <t>KIDS &amp; BABY</t>
        </is>
      </c>
      <c r="D332">
        <f>U332</f>
        <v/>
      </c>
      <c r="E332" t="n">
        <v>1114896</v>
      </c>
      <c r="F332" t="inlineStr">
        <is>
          <t>CHAMEECE PULLOVER KID'S</t>
        </is>
      </c>
      <c r="G332" t="inlineStr">
        <is>
          <t>BK      IV</t>
        </is>
      </c>
      <c r="H332" t="inlineStr">
        <is>
          <t>IV</t>
        </is>
      </c>
      <c r="I332">
        <f>VLOOKUP(H332,[1]尺寸簡表!$C$3:$D$1263,2,0)</f>
        <v/>
      </c>
      <c r="J332" t="n">
        <v>1160</v>
      </c>
      <c r="K332" t="inlineStr">
        <is>
          <t>◎ CHAMEECE™超細纖維，柔軟親膚、彈性佳，質輕且保暖。
◎ 袖口專利螺紋立體剪裁，服貼腕部，增加活動的舒適性。</t>
        </is>
      </c>
    </row>
    <row r="333">
      <c r="A333" t="inlineStr"/>
      <c r="B333" t="inlineStr"/>
      <c r="C333" t="inlineStr">
        <is>
          <t>KIDS &amp; BABY</t>
        </is>
      </c>
      <c r="D333">
        <f>U333</f>
        <v/>
      </c>
      <c r="E333" t="n">
        <v>1114897</v>
      </c>
      <c r="F333" t="inlineStr">
        <is>
          <t>CHAMEECE PULLOVER KID'S</t>
        </is>
      </c>
      <c r="G333" t="inlineStr">
        <is>
          <t>BL      LGY</t>
        </is>
      </c>
      <c r="H333" t="inlineStr">
        <is>
          <t>BL</t>
        </is>
      </c>
      <c r="I333">
        <f>VLOOKUP(H333,[1]尺寸簡表!$C$3:$D$1263,2,0)</f>
        <v/>
      </c>
      <c r="J333" t="n">
        <v>1080</v>
      </c>
      <c r="K333" t="inlineStr">
        <is>
          <t>◎ CHAMEECE™超細纖維，柔軟親膚、彈性佳，質輕且保暖。
◎ 袖口專利螺紋立體剪裁，服貼腕部，增加活動的舒適性。</t>
        </is>
      </c>
    </row>
    <row r="334">
      <c r="A334" t="inlineStr"/>
      <c r="B334" t="inlineStr"/>
      <c r="C334" t="inlineStr">
        <is>
          <t>KIDS &amp; BABY</t>
        </is>
      </c>
      <c r="D334">
        <f>U334</f>
        <v/>
      </c>
      <c r="E334" t="n">
        <v>1119130</v>
      </c>
      <c r="F334" t="inlineStr">
        <is>
          <t>CHAMEECE SNAP NECK GAITER KID'S</t>
        </is>
      </c>
      <c r="G334" t="inlineStr">
        <is>
          <t>BK      BL      IV      LBL      OG</t>
        </is>
      </c>
      <c r="H334" t="inlineStr">
        <is>
          <t>BL</t>
        </is>
      </c>
      <c r="J334" t="n">
        <v>640</v>
      </c>
      <c r="K334" t="inlineStr">
        <is>
          <t>◎ CHAMEECE™超細纖維刷毛布料，柔軟親膚、彈性佳，質輕且保暖。</t>
        </is>
      </c>
    </row>
    <row r="335">
      <c r="A335" t="inlineStr"/>
      <c r="B335" t="inlineStr"/>
      <c r="C335" t="inlineStr">
        <is>
          <t>KIDS &amp; BABY</t>
        </is>
      </c>
      <c r="D335">
        <f>U335</f>
        <v/>
      </c>
      <c r="E335" t="n">
        <v>1118112</v>
      </c>
      <c r="F335" t="inlineStr">
        <is>
          <t>CHAMEECE VOLCANO CAP KID'S</t>
        </is>
      </c>
      <c r="G335" t="inlineStr">
        <is>
          <t>LBL      NV      OG</t>
        </is>
      </c>
      <c r="H335" t="inlineStr">
        <is>
          <t>NV</t>
        </is>
      </c>
      <c r="J335" t="n">
        <v>670</v>
      </c>
      <c r="K335" t="inlineStr">
        <is>
          <t>◎ 頭圍：51~54cm。CHAMEECE™超細纖維刷毛布料，柔軟親膚、彈性佳，質輕且保暖。</t>
        </is>
      </c>
    </row>
    <row r="336">
      <c r="A336" t="inlineStr"/>
      <c r="B336" t="inlineStr"/>
      <c r="C336" t="inlineStr">
        <is>
          <t>KIDS &amp; BABY</t>
        </is>
      </c>
      <c r="D336">
        <f>U336</f>
        <v/>
      </c>
      <c r="E336" t="n">
        <v>1106697</v>
      </c>
      <c r="F336" t="inlineStr">
        <is>
          <t>CLIMAAIR JACKET KID'S</t>
        </is>
      </c>
      <c r="G336" t="inlineStr">
        <is>
          <t>BK      BLRI      IV      TQ</t>
        </is>
      </c>
      <c r="I336">
        <f>VLOOKUP(H336,[1]尺寸簡表!$C$3:$D$1263,2,0)</f>
        <v/>
      </c>
      <c r="J336" t="n">
        <v>1960</v>
      </c>
      <c r="K336" t="inlineStr">
        <is>
          <t>◎ 主體：CLIMAAIR®、身側及袖口：CLIMAPLUS®100布料。觸感柔順的長刷毛外套，兼具保暖、防風、透氣、輕量等功能。</t>
        </is>
      </c>
    </row>
    <row r="337">
      <c r="A337" t="inlineStr"/>
      <c r="B337" t="inlineStr"/>
      <c r="C337" t="inlineStr">
        <is>
          <t>KIDS &amp; BABY</t>
        </is>
      </c>
      <c r="D337">
        <f>U337</f>
        <v/>
      </c>
      <c r="E337" t="n">
        <v>1106698</v>
      </c>
      <c r="F337" t="inlineStr">
        <is>
          <t>CLIMAAIR JACKET KID'S</t>
        </is>
      </c>
      <c r="G337" t="inlineStr">
        <is>
          <t>BK      BL      IV      PK</t>
        </is>
      </c>
      <c r="I337">
        <f>VLOOKUP(H337,[1]尺寸簡表!$C$3:$D$1263,2,0)</f>
        <v/>
      </c>
      <c r="J337" t="n">
        <v>1700</v>
      </c>
      <c r="K337" t="inlineStr">
        <is>
          <t>◎ 主體：CLIMAAIR®、身側及袖口：CLIMAPLUS®100布料。觸感柔順的長刷毛外套，兼具保暖、防風、透氣、輕量等功能。</t>
        </is>
      </c>
    </row>
    <row r="338">
      <c r="A338" t="inlineStr"/>
      <c r="B338" t="inlineStr"/>
      <c r="C338" t="inlineStr">
        <is>
          <t>KIDS &amp; BABY</t>
        </is>
      </c>
      <c r="D338">
        <f>U338</f>
        <v/>
      </c>
      <c r="E338" t="n">
        <v>1106719</v>
      </c>
      <c r="F338" t="inlineStr">
        <is>
          <t>CLIMAAIR REVERSIBLE JACKET KID'S</t>
        </is>
      </c>
      <c r="G338" t="inlineStr">
        <is>
          <t>IV      NV      WRD</t>
        </is>
      </c>
      <c r="H338" t="inlineStr">
        <is>
          <t>IV</t>
        </is>
      </c>
      <c r="I338">
        <f>VLOOKUP(H338,[1]尺寸簡表!$C$3:$D$1263,2,0)</f>
        <v/>
      </c>
      <c r="J338" t="n">
        <v>2380</v>
      </c>
      <c r="K338" t="inlineStr">
        <is>
          <t>◎ 雙面穿刷毛夾克，一面CLIMAAIR®保暖，另一面柔軟防風。拉鍊不卡設計，附姓名標籤。</t>
        </is>
      </c>
    </row>
    <row r="339">
      <c r="A339" t="inlineStr"/>
      <c r="B339" t="inlineStr"/>
      <c r="C339" t="inlineStr">
        <is>
          <t>KIDS &amp; BABY</t>
        </is>
      </c>
      <c r="D339">
        <f>U339</f>
        <v/>
      </c>
      <c r="E339" t="n">
        <v>1106720</v>
      </c>
      <c r="F339" t="inlineStr">
        <is>
          <t>CLIMAAIR REVERSIBLE JACKET KID'S</t>
        </is>
      </c>
      <c r="G339" t="inlineStr">
        <is>
          <t>BL      IV      PK</t>
        </is>
      </c>
      <c r="I339">
        <f>VLOOKUP(H339,[1]尺寸簡表!$C$3:$D$1263,2,0)</f>
        <v/>
      </c>
      <c r="J339" t="n">
        <v>2100</v>
      </c>
      <c r="K339" t="inlineStr">
        <is>
          <t>◎ 雙面穿刷毛夾克，一面CLIMAAIR®保暖，另一面柔軟防風。拉鍊不卡設計，附姓名標籤。</t>
        </is>
      </c>
    </row>
    <row r="340">
      <c r="A340" t="inlineStr"/>
      <c r="B340" t="inlineStr"/>
      <c r="C340" t="inlineStr">
        <is>
          <t>KIDS &amp; BABY</t>
        </is>
      </c>
      <c r="D340">
        <f>U340</f>
        <v/>
      </c>
      <c r="E340" t="n">
        <v>1106699</v>
      </c>
      <c r="F340" t="inlineStr">
        <is>
          <t>CLIMAAIR VEST KID'S</t>
        </is>
      </c>
      <c r="G340" t="inlineStr">
        <is>
          <t>BK      BLRI      IV      TQ</t>
        </is>
      </c>
      <c r="H340" t="inlineStr">
        <is>
          <t>BLRI</t>
        </is>
      </c>
      <c r="I340">
        <f>VLOOKUP(H340,[1]尺寸簡表!$C$3:$D$1263,2,0)</f>
        <v/>
      </c>
      <c r="J340" t="n">
        <v>1800</v>
      </c>
      <c r="K340" t="inlineStr">
        <is>
          <t>◎ 主體：CLIMAAIR®、身側及袖口：CLIMAPLUS®100布料。觸感柔順的長刷毛外套，兼具保暖、防風、透氣、輕量等功能。</t>
        </is>
      </c>
    </row>
    <row r="341">
      <c r="A341" t="inlineStr"/>
      <c r="B341" t="inlineStr"/>
      <c r="C341" t="inlineStr">
        <is>
          <t>KIDS &amp; BABY</t>
        </is>
      </c>
      <c r="D341">
        <f>U341</f>
        <v/>
      </c>
      <c r="E341" t="n">
        <v>1106700</v>
      </c>
      <c r="F341" t="inlineStr">
        <is>
          <t>CLIMAAIR VEST KID'S</t>
        </is>
      </c>
      <c r="G341" t="inlineStr">
        <is>
          <t>BL      IV      NV      PK</t>
        </is>
      </c>
      <c r="H341" t="inlineStr">
        <is>
          <t>NV</t>
        </is>
      </c>
      <c r="I341">
        <f>VLOOKUP(H341,[1]尺寸簡表!$C$3:$D$1263,2,0)</f>
        <v/>
      </c>
      <c r="J341" t="n">
        <v>1510</v>
      </c>
      <c r="K341" t="inlineStr">
        <is>
          <t>◎ 主體：CLIMAAIR®、身側及袖口：CLIMAPLUS®100布料。觸感柔順的長刷毛外套，兼具保暖、防風、透氣、輕量等功能。</t>
        </is>
      </c>
    </row>
    <row r="342">
      <c r="A342" t="inlineStr"/>
      <c r="B342" t="inlineStr"/>
      <c r="C342" t="inlineStr">
        <is>
          <t>KIDS &amp; BABY</t>
        </is>
      </c>
      <c r="D342">
        <f>U342</f>
        <v/>
      </c>
      <c r="E342" t="n">
        <v>1119132</v>
      </c>
      <c r="F342" t="inlineStr">
        <is>
          <t>CLIMABARRIER TREKKING GLOVES KID'S</t>
        </is>
      </c>
      <c r="G342" t="inlineStr">
        <is>
          <t>BGN      LGY      OG</t>
        </is>
      </c>
      <c r="H342" t="inlineStr">
        <is>
          <t>OG</t>
        </is>
      </c>
      <c r="I342">
        <f>VLOOKUP(H342,[1]尺寸簡表!$C$3:$D$1263,2,0)</f>
        <v/>
      </c>
      <c r="J342" t="n">
        <v>920</v>
      </c>
      <c r="K342" t="inlineStr">
        <is>
          <t>◎ 材質：CLIMA BARRIER®（聚酯纖維）。防風、透氣，適合寒冷的天氣。
◎ 大拇指和食指的開口設計，可觸控螢幕功能。</t>
        </is>
      </c>
    </row>
    <row r="343">
      <c r="A343" t="inlineStr"/>
      <c r="B343" t="inlineStr"/>
      <c r="C343" t="inlineStr">
        <is>
          <t>KIDS &amp; BABY</t>
        </is>
      </c>
      <c r="D343">
        <f>U343</f>
        <v/>
      </c>
      <c r="E343" t="n">
        <v>1106606</v>
      </c>
      <c r="F343" t="inlineStr">
        <is>
          <t>CLIMAPLUS 100 JACKET KID'S</t>
        </is>
      </c>
      <c r="G343" t="inlineStr">
        <is>
          <t>GN      IV      NV</t>
        </is>
      </c>
      <c r="I343">
        <f>VLOOKUP(H343,[1]尺寸簡表!$C$3:$D$1263,2,0)</f>
        <v/>
      </c>
      <c r="J343" t="n">
        <v>1910</v>
      </c>
      <c r="K343" t="inlineStr">
        <is>
          <t>◎ 使用CLIMAPLUS®100布料：具有彈性、快乾、透氣、保暖的特性。</t>
        </is>
      </c>
    </row>
    <row r="344">
      <c r="A344" t="inlineStr"/>
      <c r="B344" t="inlineStr"/>
      <c r="C344" t="inlineStr">
        <is>
          <t>KIDS &amp; BABY</t>
        </is>
      </c>
      <c r="D344">
        <f>U344</f>
        <v/>
      </c>
      <c r="E344" t="n">
        <v>1106607</v>
      </c>
      <c r="F344" t="inlineStr">
        <is>
          <t>CLIMAPLUS 100 JACKET KID'S</t>
        </is>
      </c>
      <c r="G344" t="inlineStr">
        <is>
          <t>IV      TQ      YL</t>
        </is>
      </c>
      <c r="I344">
        <f>VLOOKUP(H344,[1]尺寸簡表!$C$3:$D$1263,2,0)</f>
        <v/>
      </c>
      <c r="J344" t="n">
        <v>1770</v>
      </c>
      <c r="K344" t="inlineStr">
        <is>
          <t>◎ 使用CLIMAPLUS®100布料：具有彈性、快乾、透氣、保暖的特性。</t>
        </is>
      </c>
    </row>
    <row r="345">
      <c r="A345" t="inlineStr"/>
      <c r="B345" t="inlineStr"/>
      <c r="C345" t="inlineStr">
        <is>
          <t>KIDS &amp; BABY</t>
        </is>
      </c>
      <c r="D345">
        <f>U345</f>
        <v/>
      </c>
      <c r="E345" t="n">
        <v>1106608</v>
      </c>
      <c r="F345" t="inlineStr">
        <is>
          <t>CLIMAPLUS 100 VEST KID'S</t>
        </is>
      </c>
      <c r="G345" t="inlineStr">
        <is>
          <t>IV      NV</t>
        </is>
      </c>
      <c r="I345">
        <f>VLOOKUP(H345,[1]尺寸簡表!$C$3:$D$1263,2,0)</f>
        <v/>
      </c>
      <c r="J345" t="n">
        <v>1770</v>
      </c>
      <c r="K345" t="inlineStr">
        <is>
          <t>◎ 使用CLIMAPLUS®100布料：具有彈性、快乾、透氣、保暖的特性。</t>
        </is>
      </c>
    </row>
    <row r="346">
      <c r="A346" t="inlineStr"/>
      <c r="B346" t="inlineStr"/>
      <c r="C346" t="inlineStr">
        <is>
          <t>KIDS &amp; BABY</t>
        </is>
      </c>
      <c r="D346">
        <f>U346</f>
        <v/>
      </c>
      <c r="E346" t="n">
        <v>1106609</v>
      </c>
      <c r="F346" t="inlineStr">
        <is>
          <t>CLIMAPLUS 100 VEST KID'S</t>
        </is>
      </c>
      <c r="G346" t="inlineStr">
        <is>
          <t>IV      NV</t>
        </is>
      </c>
      <c r="I346">
        <f>VLOOKUP(H346,[1]尺寸簡表!$C$3:$D$1263,2,0)</f>
        <v/>
      </c>
      <c r="J346" t="n">
        <v>1690</v>
      </c>
      <c r="K346" t="inlineStr">
        <is>
          <t>◎ 使用CLIMAPLUS®100布料：具有彈性、快乾、透氣、保暖的特性。</t>
        </is>
      </c>
    </row>
    <row r="347">
      <c r="A347" t="inlineStr"/>
      <c r="B347" t="inlineStr"/>
      <c r="C347" t="inlineStr">
        <is>
          <t>KIDS &amp; BABY</t>
        </is>
      </c>
      <c r="D347">
        <f>U347</f>
        <v/>
      </c>
      <c r="E347" t="n">
        <v>1118832</v>
      </c>
      <c r="F347" t="inlineStr">
        <is>
          <t>CLIMAPLUS KNIT EAR WARMER KID'S</t>
        </is>
      </c>
      <c r="G347" t="inlineStr">
        <is>
          <t>NV      OG</t>
        </is>
      </c>
      <c r="H347" t="inlineStr">
        <is>
          <t>OG</t>
        </is>
      </c>
      <c r="J347" t="n">
        <v>630</v>
      </c>
      <c r="K347" t="inlineStr">
        <is>
          <t>◎ 材質：聚酯纖維，收納尺寸Φ12 x 6.5cm。
◎ 柔軟毛絨耳罩，可伸縮頭帶適合各頭圍，折疊收納便攜。</t>
        </is>
      </c>
    </row>
    <row r="348">
      <c r="A348" t="inlineStr"/>
      <c r="B348" t="inlineStr"/>
      <c r="C348" t="inlineStr">
        <is>
          <t>KIDS &amp; BABY</t>
        </is>
      </c>
      <c r="D348">
        <f>U348</f>
        <v/>
      </c>
      <c r="E348" t="n">
        <v>1106764</v>
      </c>
      <c r="F348" t="inlineStr">
        <is>
          <t>CLIMAPLUS SHEARLING JACKET KID'S</t>
        </is>
      </c>
      <c r="G348" t="inlineStr">
        <is>
          <t>IV      KH      NV</t>
        </is>
      </c>
      <c r="H348" t="inlineStr">
        <is>
          <t>KH</t>
        </is>
      </c>
      <c r="I348">
        <f>VLOOKUP(H348,[1]尺寸簡表!$C$3:$D$1263,2,0)</f>
        <v/>
      </c>
      <c r="J348" t="n">
        <v>3030</v>
      </c>
      <c r="K348" t="inlineStr">
        <is>
          <t>◎ 表布：CLIMAPLUS®100（聚酯纖維100%）、內裡：40D尼龍。保暖的羊羔毛絨背心。</t>
        </is>
      </c>
    </row>
    <row r="349">
      <c r="A349" t="inlineStr"/>
      <c r="B349" t="inlineStr"/>
      <c r="C349" t="inlineStr">
        <is>
          <t>KIDS &amp; BABY</t>
        </is>
      </c>
      <c r="D349">
        <f>U349</f>
        <v/>
      </c>
      <c r="E349" t="n">
        <v>1106765</v>
      </c>
      <c r="F349" t="inlineStr">
        <is>
          <t>CLIMAPLUS SHEARLING JACKET KID'S</t>
        </is>
      </c>
      <c r="G349" t="inlineStr">
        <is>
          <t>IV      KH      NV</t>
        </is>
      </c>
      <c r="I349">
        <f>VLOOKUP(H349,[1]尺寸簡表!$C$3:$D$1263,2,0)</f>
        <v/>
      </c>
      <c r="J349" t="n">
        <v>2670</v>
      </c>
      <c r="K349" t="inlineStr">
        <is>
          <t>◎ 表布：CLIMAPLUS®100（聚酯纖維100%）、內裡：40D尼龍。保暖的羊羔毛絨背心。</t>
        </is>
      </c>
    </row>
    <row r="350">
      <c r="A350" t="inlineStr"/>
      <c r="B350" t="inlineStr"/>
      <c r="C350" t="inlineStr">
        <is>
          <t>KIDS &amp; BABY</t>
        </is>
      </c>
      <c r="D350">
        <f>U350</f>
        <v/>
      </c>
      <c r="E350" t="n">
        <v>1106766</v>
      </c>
      <c r="F350" t="inlineStr">
        <is>
          <t>CLIMAPLUS SHEARLING VEST KID'S</t>
        </is>
      </c>
      <c r="G350" t="inlineStr">
        <is>
          <t>IV      NV</t>
        </is>
      </c>
      <c r="H350" t="inlineStr">
        <is>
          <t>NV      IV</t>
        </is>
      </c>
      <c r="I350">
        <f>VLOOKUP(H350,[1]尺寸簡表!$C$3:$D$1263,2,0)</f>
        <v/>
      </c>
      <c r="J350" t="n">
        <v>2520</v>
      </c>
      <c r="K350" t="inlineStr">
        <is>
          <t>◎ 表布：CLIMAPLUS®100（聚酯纖維100%）、內裡：40D尼龍。保暖的羊羔毛絨背心。</t>
        </is>
      </c>
    </row>
    <row r="351">
      <c r="A351" t="inlineStr"/>
      <c r="B351" t="inlineStr"/>
      <c r="C351" t="inlineStr">
        <is>
          <t>KIDS &amp; BABY</t>
        </is>
      </c>
      <c r="D351">
        <f>U351</f>
        <v/>
      </c>
      <c r="E351" t="n">
        <v>1106767</v>
      </c>
      <c r="F351" t="inlineStr">
        <is>
          <t>CLIMAPLUS SHEARLING VEST KID'S</t>
        </is>
      </c>
      <c r="G351" t="inlineStr">
        <is>
          <t>IV      NV</t>
        </is>
      </c>
      <c r="I351">
        <f>VLOOKUP(H351,[1]尺寸簡表!$C$3:$D$1263,2,0)</f>
        <v/>
      </c>
      <c r="J351" t="n">
        <v>2240</v>
      </c>
      <c r="K351" t="inlineStr">
        <is>
          <t>◎ 表布：CLIMAPLUS®100（聚酯纖維100%）、內裡：40D尼龍。保暖的羊羔毛絨背心。</t>
        </is>
      </c>
    </row>
    <row r="352">
      <c r="A352" t="inlineStr"/>
      <c r="B352" t="inlineStr"/>
      <c r="C352" t="inlineStr">
        <is>
          <t>KIDS &amp; BABY</t>
        </is>
      </c>
      <c r="D352">
        <f>U352</f>
        <v/>
      </c>
      <c r="E352" t="n">
        <v>1101746</v>
      </c>
      <c r="F352" t="inlineStr">
        <is>
          <t>COLORADO PARKA KID'S 100-130</t>
        </is>
      </c>
      <c r="G352" t="inlineStr">
        <is>
          <t>BL      DGY      PU</t>
        </is>
      </c>
      <c r="I352">
        <f>VLOOKUP(H352,[1]尺寸簡表!$C$3:$D$1263,2,0)</f>
        <v/>
      </c>
      <c r="J352" t="n">
        <v>4450</v>
      </c>
      <c r="K352" t="inlineStr">
        <is>
          <t>◎ 表布40D尼龍（撥水加工/抗靜電加工）、內裡：40D尼龍、填充：500FP高品質羽絨。
◎ 三枚差結構，高度防風。可正反面穿著，享受一衣二穿的樂趣。</t>
        </is>
      </c>
    </row>
    <row r="353">
      <c r="A353" t="inlineStr"/>
      <c r="B353" t="inlineStr"/>
      <c r="C353" t="inlineStr">
        <is>
          <t>KIDS &amp; BABY</t>
        </is>
      </c>
      <c r="D353">
        <f>U353</f>
        <v/>
      </c>
      <c r="E353" t="n">
        <v>1101745</v>
      </c>
      <c r="F353" t="inlineStr">
        <is>
          <t>COLORADO PARKA KID'S 140-160</t>
        </is>
      </c>
      <c r="G353" t="inlineStr">
        <is>
          <t>DGN      DGY      NV</t>
        </is>
      </c>
      <c r="H353" t="inlineStr">
        <is>
          <t>DGN</t>
        </is>
      </c>
      <c r="I353">
        <f>VLOOKUP(H353,[1]尺寸簡表!$C$3:$D$1263,2,0)</f>
        <v/>
      </c>
      <c r="J353" t="n">
        <v>5410</v>
      </c>
      <c r="K353" t="inlineStr">
        <is>
          <t>◎ 表布40D尼龍（撥水加工/抗靜電加工）、內裡：40D尼龍、填充：500FP高品質羽絨。
◎ 三枚差結構，高度防風。可正反面穿著，享受一衣二穿的樂趣。</t>
        </is>
      </c>
    </row>
    <row r="354">
      <c r="A354" t="inlineStr"/>
      <c r="B354" t="inlineStr"/>
      <c r="C354" t="inlineStr">
        <is>
          <t>KIDS &amp; BABY</t>
        </is>
      </c>
      <c r="D354">
        <f>U354</f>
        <v/>
      </c>
      <c r="E354" t="n">
        <v>2104882</v>
      </c>
      <c r="F354" t="inlineStr">
        <is>
          <t>COTTON LONG SLEEVE POCKET T KID'S</t>
        </is>
      </c>
      <c r="G354" t="inlineStr">
        <is>
          <t>CPK      LGY      NV</t>
        </is>
      </c>
      <c r="H354" t="inlineStr">
        <is>
          <t>LGY</t>
        </is>
      </c>
      <c r="I354">
        <f>VLOOKUP(H354,[1]尺寸簡表!$C$3:$D$1263,2,0)</f>
        <v/>
      </c>
      <c r="J354" t="n">
        <v>830</v>
      </c>
      <c r="K354" t="inlineStr">
        <is>
          <t>◎ 材質：有機棉。UV CUT。
◎ 胸前一口袋，領口雙重車縫，不易變形。</t>
        </is>
      </c>
    </row>
    <row r="355">
      <c r="A355" t="inlineStr"/>
      <c r="B355" t="inlineStr"/>
      <c r="C355" t="inlineStr">
        <is>
          <t>KIDS &amp; BABY</t>
        </is>
      </c>
      <c r="D355">
        <f>U355</f>
        <v/>
      </c>
      <c r="E355" t="n">
        <v>2104883</v>
      </c>
      <c r="F355" t="inlineStr">
        <is>
          <t>COTTON LONG SLEEVE POCKET T KID'S</t>
        </is>
      </c>
      <c r="G355" t="inlineStr">
        <is>
          <t>CPK      LGY      NV</t>
        </is>
      </c>
      <c r="I355">
        <f>VLOOKUP(H355,[1]尺寸簡表!$C$3:$D$1263,2,0)</f>
        <v/>
      </c>
      <c r="J355" t="n">
        <v>830</v>
      </c>
      <c r="K355" t="inlineStr">
        <is>
          <t>◎ 材質：有機棉。UV CUT。
◎ 胸前一口袋，領口雙重車縫，不易變形。</t>
        </is>
      </c>
    </row>
    <row r="356">
      <c r="A356" t="inlineStr"/>
      <c r="B356" t="inlineStr"/>
      <c r="C356" t="inlineStr">
        <is>
          <t>KIDS &amp; BABY</t>
        </is>
      </c>
      <c r="D356">
        <f>U356</f>
        <v/>
      </c>
      <c r="E356" t="n">
        <v>2104884</v>
      </c>
      <c r="F356" t="inlineStr">
        <is>
          <t>COTTON LONG SLEEVE T KID'S ANIMAL LOGO</t>
        </is>
      </c>
      <c r="G356" t="inlineStr">
        <is>
          <t>CPK      GN</t>
        </is>
      </c>
      <c r="H356" t="inlineStr">
        <is>
          <t>GN</t>
        </is>
      </c>
      <c r="I356">
        <f>VLOOKUP(H356,[1]尺寸簡表!$C$3:$D$1263,2,0)</f>
        <v/>
      </c>
      <c r="J356" t="n">
        <v>760</v>
      </c>
      <c r="K356" t="inlineStr">
        <is>
          <t>◎ 100%有機棉、UV CUT。</t>
        </is>
      </c>
    </row>
    <row r="357">
      <c r="A357" t="inlineStr"/>
      <c r="B357" t="inlineStr"/>
      <c r="C357" t="inlineStr">
        <is>
          <t>KIDS &amp; BABY</t>
        </is>
      </c>
      <c r="D357">
        <f>U357</f>
        <v/>
      </c>
      <c r="E357" t="n">
        <v>2104885</v>
      </c>
      <c r="F357" t="inlineStr">
        <is>
          <t>COTTON LONG SLEEVE T KID'S ANIMAL LOGO</t>
        </is>
      </c>
      <c r="G357" t="inlineStr">
        <is>
          <t>CPK      GN</t>
        </is>
      </c>
      <c r="I357">
        <f>VLOOKUP(H357,[1]尺寸簡表!$C$3:$D$1263,2,0)</f>
        <v/>
      </c>
      <c r="J357" t="n">
        <v>760</v>
      </c>
      <c r="K357" t="inlineStr">
        <is>
          <t>◎ 100%有機棉、UV CUT。</t>
        </is>
      </c>
    </row>
    <row r="358">
      <c r="A358" t="inlineStr"/>
      <c r="B358" t="inlineStr"/>
      <c r="C358" t="inlineStr">
        <is>
          <t>KIDS &amp; BABY</t>
        </is>
      </c>
      <c r="D358">
        <f>U358</f>
        <v/>
      </c>
      <c r="E358" t="n">
        <v>2104888</v>
      </c>
      <c r="F358" t="inlineStr">
        <is>
          <t>COTTON LONG SLEEVE T KID'S FOREST ANIMALS</t>
        </is>
      </c>
      <c r="G358" t="inlineStr">
        <is>
          <t>IV      LGY</t>
        </is>
      </c>
      <c r="H358" t="inlineStr">
        <is>
          <t>LGY</t>
        </is>
      </c>
      <c r="I358">
        <f>VLOOKUP(H358,[1]尺寸簡表!$C$3:$D$1263,2,0)</f>
        <v/>
      </c>
      <c r="J358" t="n">
        <v>760</v>
      </c>
      <c r="K358" t="inlineStr">
        <is>
          <t>◎ 100%有機棉、UV CUT。</t>
        </is>
      </c>
    </row>
    <row r="359">
      <c r="A359" t="inlineStr"/>
      <c r="B359" t="inlineStr"/>
      <c r="C359" t="inlineStr">
        <is>
          <t>KIDS &amp; BABY</t>
        </is>
      </c>
      <c r="D359">
        <f>U359</f>
        <v/>
      </c>
      <c r="E359" t="n">
        <v>2104889</v>
      </c>
      <c r="F359" t="inlineStr">
        <is>
          <t>COTTON LONG SLEEVE T KID'S FOREST ANIMALS</t>
        </is>
      </c>
      <c r="G359" t="inlineStr">
        <is>
          <t>IV      LGY</t>
        </is>
      </c>
      <c r="I359">
        <f>VLOOKUP(H359,[1]尺寸簡表!$C$3:$D$1263,2,0)</f>
        <v/>
      </c>
      <c r="J359" t="n">
        <v>760</v>
      </c>
      <c r="K359" t="inlineStr">
        <is>
          <t>◎ 100%有機棉、UV CUT。</t>
        </is>
      </c>
    </row>
    <row r="360">
      <c r="A360" t="inlineStr"/>
      <c r="B360" t="inlineStr"/>
      <c r="C360" t="inlineStr">
        <is>
          <t>KIDS &amp; BABY</t>
        </is>
      </c>
      <c r="D360">
        <f>U360</f>
        <v/>
      </c>
      <c r="E360" t="n">
        <v>2104886</v>
      </c>
      <c r="F360" t="inlineStr">
        <is>
          <t>COTTON LONG SLEEVE T KID'S PEAK LOGO</t>
        </is>
      </c>
      <c r="G360" t="inlineStr">
        <is>
          <t>IV      TQ</t>
        </is>
      </c>
      <c r="H360" t="inlineStr">
        <is>
          <t>TQ</t>
        </is>
      </c>
      <c r="I360">
        <f>VLOOKUP(H360,[1]尺寸簡表!$C$3:$D$1263,2,0)</f>
        <v/>
      </c>
      <c r="J360" t="n">
        <v>760</v>
      </c>
      <c r="K360" t="inlineStr">
        <is>
          <t>◎ 100%有機棉、UV CUT。</t>
        </is>
      </c>
    </row>
    <row r="361">
      <c r="A361" t="inlineStr"/>
      <c r="B361" t="inlineStr"/>
      <c r="C361" t="inlineStr">
        <is>
          <t>KIDS &amp; BABY</t>
        </is>
      </c>
      <c r="D361">
        <f>U361</f>
        <v/>
      </c>
      <c r="E361" t="n">
        <v>2104887</v>
      </c>
      <c r="F361" t="inlineStr">
        <is>
          <t>COTTON LONG SLEEVE T KID'S PEAK LOGO</t>
        </is>
      </c>
      <c r="G361" t="inlineStr">
        <is>
          <t>IV      TQ</t>
        </is>
      </c>
      <c r="I361">
        <f>VLOOKUP(H361,[1]尺寸簡表!$C$3:$D$1263,2,0)</f>
        <v/>
      </c>
      <c r="J361" t="n">
        <v>760</v>
      </c>
      <c r="K361" t="inlineStr">
        <is>
          <t>◎ 100%有機棉、UV CUT。</t>
        </is>
      </c>
    </row>
    <row r="362">
      <c r="A362" t="inlineStr"/>
      <c r="B362" t="inlineStr"/>
      <c r="C362" t="inlineStr">
        <is>
          <t>KIDS &amp; BABY</t>
        </is>
      </c>
      <c r="D362">
        <f>U362</f>
        <v/>
      </c>
      <c r="E362" t="n">
        <v>1118647</v>
      </c>
      <c r="F362" t="inlineStr">
        <is>
          <t>EAR WARMER KID'S ANIMAL</t>
        </is>
      </c>
      <c r="G362" t="inlineStr">
        <is>
          <t>#4      #5      #6      #7      #8</t>
        </is>
      </c>
      <c r="H362" t="inlineStr">
        <is>
          <t>#4      #5      #6</t>
        </is>
      </c>
      <c r="J362" t="n">
        <v>760</v>
      </c>
      <c r="K362" t="inlineStr">
        <is>
          <t>◎ 收納尺寸：12×11x6.5cm。
◎ 便攜式的保暖耳罩，使用CHAMEECE™超細纖維刷毛布料，柔軟親膚、彈性佳，質輕且保暖。</t>
        </is>
      </c>
    </row>
    <row r="363">
      <c r="A363" t="inlineStr"/>
      <c r="B363" t="inlineStr"/>
      <c r="C363" t="inlineStr">
        <is>
          <t>KIDS &amp; BABY</t>
        </is>
      </c>
      <c r="D363">
        <f>U363</f>
        <v/>
      </c>
      <c r="E363" t="n">
        <v>1119209</v>
      </c>
      <c r="F363" t="inlineStr">
        <is>
          <t>EXCELOFT THERMALAND CAP KID'S</t>
        </is>
      </c>
      <c r="G363" t="inlineStr">
        <is>
          <t>KH      TN</t>
        </is>
      </c>
      <c r="H363" t="inlineStr">
        <is>
          <t>KH</t>
        </is>
      </c>
      <c r="J363" t="n">
        <v>1270</v>
      </c>
      <c r="K363" t="inlineStr">
        <is>
          <t>◎ 頭圍：51~54cm、帽簷長度：6cm。
◎ 表布：20D抗撕裂尼龍布（撥水加工），內裡填充EXCELOFT®專利中空纖維，內裡為CHAMEECE™。</t>
        </is>
      </c>
    </row>
    <row r="364">
      <c r="A364" t="inlineStr"/>
      <c r="B364" t="inlineStr"/>
      <c r="C364" t="inlineStr">
        <is>
          <t>KIDS &amp; BABY</t>
        </is>
      </c>
      <c r="D364">
        <f>U364</f>
        <v/>
      </c>
      <c r="E364" t="n">
        <v>1118833</v>
      </c>
      <c r="F364" t="inlineStr">
        <is>
          <t>FAUX FUR EAR WARMER KID'S</t>
        </is>
      </c>
      <c r="G364" t="inlineStr">
        <is>
          <t>IV      YL</t>
        </is>
      </c>
      <c r="H364" t="inlineStr">
        <is>
          <t>YL</t>
        </is>
      </c>
      <c r="J364" t="n">
        <v>910</v>
      </c>
      <c r="K364" t="inlineStr">
        <is>
          <t>◎ 材質：耳外側壓克力100%、耳內側壓克力89%+聚酯纖維11%。
◎ 溫暖仿毛皮折疊式耳罩，可伸縮頭帶適合各頭圍，收納尺寸Φ12 x 6.5cm。</t>
        </is>
      </c>
    </row>
    <row r="365">
      <c r="A365" t="inlineStr"/>
      <c r="B365" t="inlineStr"/>
      <c r="C365" t="inlineStr">
        <is>
          <t>KIDS &amp; BABY</t>
        </is>
      </c>
      <c r="D365">
        <f>U365</f>
        <v/>
      </c>
      <c r="E365" t="n">
        <v>1128796</v>
      </c>
      <c r="F365" t="inlineStr">
        <is>
          <t>GROW FIT KLEPPER JACKET KID'S</t>
        </is>
      </c>
      <c r="G365" t="inlineStr">
        <is>
          <t>BL      PK      YL</t>
        </is>
      </c>
      <c r="H365" t="inlineStr">
        <is>
          <t>YL</t>
        </is>
      </c>
      <c r="I365">
        <f>VLOOKUP(H365,[1]尺寸簡表!$C$3:$D$1263,2,0)</f>
        <v/>
      </c>
      <c r="J365" t="n">
        <v>2900</v>
      </c>
      <c r="K365" t="inlineStr">
        <is>
          <t>◎ 重量：188g。
◎ 70D DRYTEC®2L（耐水壓20,000mm+，透氣度13,000g/㎡）。專利的"GROWFIT SYSTEM"可隨者孩子的成長調整最適長度。
◎ 附贈收納袋及姓名標籤。</t>
        </is>
      </c>
    </row>
    <row r="366">
      <c r="A366" t="inlineStr"/>
      <c r="B366" t="inlineStr"/>
      <c r="C366" t="inlineStr">
        <is>
          <t>KIDS &amp; BABY</t>
        </is>
      </c>
      <c r="D366">
        <f>U366</f>
        <v/>
      </c>
      <c r="E366" t="n">
        <v>1128797</v>
      </c>
      <c r="F366" t="inlineStr">
        <is>
          <t>GROW FIT KLEPPER JACKET KID'S</t>
        </is>
      </c>
      <c r="G366" t="inlineStr">
        <is>
          <t>BL      PK      YL</t>
        </is>
      </c>
      <c r="I366">
        <f>VLOOKUP(H366,[1]尺寸簡表!$C$3:$D$1263,2,0)</f>
        <v/>
      </c>
      <c r="J366" t="n">
        <v>2530</v>
      </c>
      <c r="K366" t="inlineStr">
        <is>
          <t>◎ 重量：155g。
◎ 70D DRYTEC®2L（耐水壓20,000mm+，透氣度13,000g/㎡）。專利的"GROWFIT SYSTEM"可隨者孩子的成長調整最適長度。
◎ 附贈收納袋及姓名標籤。</t>
        </is>
      </c>
    </row>
    <row r="367">
      <c r="A367" t="inlineStr"/>
      <c r="B367" t="inlineStr"/>
      <c r="C367" t="inlineStr">
        <is>
          <t>KIDS &amp; BABY</t>
        </is>
      </c>
      <c r="D367">
        <f>U367</f>
        <v/>
      </c>
      <c r="E367" t="n">
        <v>1128798</v>
      </c>
      <c r="F367" t="inlineStr">
        <is>
          <t>GROW FIT KLEPPER PANTS KID'S</t>
        </is>
      </c>
      <c r="G367" t="inlineStr">
        <is>
          <t>GY</t>
        </is>
      </c>
      <c r="H367" t="inlineStr">
        <is>
          <t>GY</t>
        </is>
      </c>
      <c r="I367">
        <f>VLOOKUP(H367,[1]尺寸簡表!$C$3:$D$1263,2,0)</f>
        <v/>
      </c>
      <c r="J367" t="n">
        <v>2400</v>
      </c>
      <c r="K367" t="inlineStr">
        <is>
          <t>◎ 重量：115g。
◎ 70D DRYTEC®2L（耐水壓20,000mm+，透氣度13,000g/㎡）。專利的"GROWFIT SYSTEM"可隨者孩子的成長調整最適長度。
◎ 附贈收納袋及姓名標籤。</t>
        </is>
      </c>
    </row>
    <row r="368">
      <c r="A368" t="inlineStr"/>
      <c r="B368" t="inlineStr"/>
      <c r="C368" t="inlineStr">
        <is>
          <t>KIDS &amp; BABY</t>
        </is>
      </c>
      <c r="D368">
        <f>U368</f>
        <v/>
      </c>
      <c r="E368" t="n">
        <v>1128799</v>
      </c>
      <c r="F368" t="inlineStr">
        <is>
          <t>GROW FIT KLEPPER PANTS KID'S</t>
        </is>
      </c>
      <c r="G368" t="inlineStr">
        <is>
          <t>GY</t>
        </is>
      </c>
      <c r="I368">
        <f>VLOOKUP(H368,[1]尺寸簡表!$C$3:$D$1263,2,0)</f>
        <v/>
      </c>
      <c r="J368" t="n">
        <v>1570</v>
      </c>
      <c r="K368" t="inlineStr">
        <is>
          <t>◎ 重量：90g。
◎ 70D DRYTEC®2L（耐水壓20,000mm+，透氣度13,000g/㎡）。專利的"GROWFIT SYSTEM"可隨者孩子的成長調整最適長度。
◎ 附贈收納袋及姓名標籤。</t>
        </is>
      </c>
    </row>
    <row r="369">
      <c r="A369" t="inlineStr"/>
      <c r="B369" t="inlineStr"/>
      <c r="C369" t="inlineStr">
        <is>
          <t>KIDS &amp; BABY</t>
        </is>
      </c>
      <c r="D369">
        <f>U369</f>
        <v/>
      </c>
      <c r="E369" t="n">
        <v>1101750</v>
      </c>
      <c r="F369" t="inlineStr">
        <is>
          <t>HUSKY DOWN COAT KID'S 100-130</t>
        </is>
      </c>
      <c r="G369" t="inlineStr">
        <is>
          <t>BK      DGN      YL</t>
        </is>
      </c>
      <c r="I369">
        <f>VLOOKUP(H369,[1]尺寸簡表!$C$3:$D$1263,2,0)</f>
        <v/>
      </c>
      <c r="J369" t="n">
        <v>3980</v>
      </c>
      <c r="K369" t="inlineStr">
        <is>
          <t>◎ 表布：70D尼龍（撥水加工），內裡：20D抗撕裂尼龍布（防靜電加工），填充500FP羽絨（中厚手）。
◎ 三枚差結構，高度防風。</t>
        </is>
      </c>
    </row>
    <row r="370">
      <c r="A370" t="inlineStr"/>
      <c r="B370" t="inlineStr"/>
      <c r="C370" t="inlineStr">
        <is>
          <t>KIDS &amp; BABY</t>
        </is>
      </c>
      <c r="D370">
        <f>U370</f>
        <v/>
      </c>
      <c r="E370" t="n">
        <v>1101749</v>
      </c>
      <c r="F370" t="inlineStr">
        <is>
          <t>HUSKY DOWN COAT KID'S 140-160</t>
        </is>
      </c>
      <c r="G370" t="inlineStr">
        <is>
          <t>BK      DGN      YL</t>
        </is>
      </c>
      <c r="H370" t="inlineStr">
        <is>
          <t>YL</t>
        </is>
      </c>
      <c r="I370">
        <f>VLOOKUP(H370,[1]尺寸簡表!$C$3:$D$1263,2,0)</f>
        <v/>
      </c>
      <c r="J370" t="n">
        <v>4770</v>
      </c>
      <c r="K370" t="inlineStr">
        <is>
          <t>◎ 表布：70D尼龍（撥水加工），內裡：20D抗撕裂尼龍布（防靜電加工），填充500FP羽絨（中厚手）。
◎ 三枚差結構，高度防風。</t>
        </is>
      </c>
    </row>
    <row r="371">
      <c r="A371" t="inlineStr"/>
      <c r="B371" t="inlineStr"/>
      <c r="C371" t="inlineStr">
        <is>
          <t>KIDS &amp; BABY</t>
        </is>
      </c>
      <c r="D371">
        <f>U371</f>
        <v/>
      </c>
      <c r="E371" t="n">
        <v>1119129</v>
      </c>
      <c r="F371" t="inlineStr">
        <is>
          <t>JACQUARD KNIT SCARF KID'S #1</t>
        </is>
      </c>
      <c r="G371" t="inlineStr">
        <is>
          <t>BGN      GY      LV</t>
        </is>
      </c>
      <c r="H371" t="inlineStr">
        <is>
          <t>LV</t>
        </is>
      </c>
      <c r="J371" t="n">
        <v>700</v>
      </c>
      <c r="K371" t="inlineStr">
        <is>
          <t>◎ 材質：壓克力纖維100%。尺寸：12x180cm。
◎ 織入跳舞熊圖案的輕薄圍巾，末端飾有流蘇。</t>
        </is>
      </c>
    </row>
    <row r="372">
      <c r="A372" t="inlineStr"/>
      <c r="B372" t="inlineStr"/>
      <c r="C372" t="inlineStr">
        <is>
          <t>KIDS &amp; BABY</t>
        </is>
      </c>
      <c r="D372">
        <f>U372</f>
        <v/>
      </c>
      <c r="E372" t="n">
        <v>1107814</v>
      </c>
      <c r="F372" t="inlineStr">
        <is>
          <t>JACQUARD TIGHTS KID'S</t>
        </is>
      </c>
      <c r="G372" t="inlineStr">
        <is>
          <t>GY      NV</t>
        </is>
      </c>
      <c r="H372" t="inlineStr">
        <is>
          <t>GY</t>
        </is>
      </c>
      <c r="I372">
        <f>VLOOKUP(H372,[1]尺寸簡表!$C$3:$D$1263,2,0)</f>
        <v/>
      </c>
      <c r="J372" t="n">
        <v>1010</v>
      </c>
      <c r="K372" t="inlineStr">
        <is>
          <t>◎ 材質：壓克力74%+尼龍23%+聚氨酯3%。
◎ 厚手，印花圖騰。</t>
        </is>
      </c>
    </row>
    <row r="373">
      <c r="A373" t="inlineStr"/>
      <c r="B373" t="inlineStr"/>
      <c r="C373" t="inlineStr">
        <is>
          <t>KIDS &amp; BABY</t>
        </is>
      </c>
      <c r="D373">
        <f>U373</f>
        <v/>
      </c>
      <c r="E373" t="n">
        <v>1107815</v>
      </c>
      <c r="F373" t="inlineStr">
        <is>
          <t>JACQUARD TIGHTS KID'S</t>
        </is>
      </c>
      <c r="G373" t="inlineStr">
        <is>
          <t>GY      NV</t>
        </is>
      </c>
      <c r="I373">
        <f>VLOOKUP(H373,[1]尺寸簡表!$C$3:$D$1263,2,0)</f>
        <v/>
      </c>
      <c r="J373" t="n">
        <v>940</v>
      </c>
      <c r="K373" t="inlineStr">
        <is>
          <t>◎ 材質：壓克力74%+尼龍23%+聚氨酯3%。
◎ 厚手，印花圖騰。</t>
        </is>
      </c>
    </row>
    <row r="374">
      <c r="A374" t="inlineStr"/>
      <c r="B374" t="inlineStr"/>
      <c r="C374" t="inlineStr">
        <is>
          <t>KIDS &amp; BABY</t>
        </is>
      </c>
      <c r="D374">
        <f>U374</f>
        <v/>
      </c>
      <c r="E374" t="n">
        <v>1119125</v>
      </c>
      <c r="F374" t="inlineStr">
        <is>
          <t>JACQUARD WATCH CAP KID'S #1</t>
        </is>
      </c>
      <c r="G374" t="inlineStr">
        <is>
          <t>BGN      GY      LV</t>
        </is>
      </c>
      <c r="H374" t="inlineStr">
        <is>
          <t>BGN</t>
        </is>
      </c>
      <c r="J374" t="n">
        <v>700</v>
      </c>
      <c r="K374" t="inlineStr">
        <is>
          <t>◎ 材質：壓克力纖維100%。頭圍：51～54cm。編織有跳舞熊圖案的薄款針織帽。</t>
        </is>
      </c>
    </row>
    <row r="375">
      <c r="A375" t="inlineStr"/>
      <c r="B375" t="inlineStr"/>
      <c r="C375" t="inlineStr">
        <is>
          <t>KIDS &amp; BABY</t>
        </is>
      </c>
      <c r="D375">
        <f>U375</f>
        <v/>
      </c>
      <c r="E375" t="n">
        <v>1128792</v>
      </c>
      <c r="F375" t="inlineStr">
        <is>
          <t>KLEPPER JACKET KID'S</t>
        </is>
      </c>
      <c r="G375" t="inlineStr">
        <is>
          <t>BL      PU      TQ</t>
        </is>
      </c>
      <c r="H375" t="inlineStr">
        <is>
          <t>PU</t>
        </is>
      </c>
      <c r="I375">
        <f>VLOOKUP(H375,[1]尺寸簡表!$C$3:$D$1263,2,0)</f>
        <v/>
      </c>
      <c r="J375" t="n">
        <v>2380</v>
      </c>
      <c r="K375" t="inlineStr">
        <is>
          <t>◎ 重量：185g。附贈收納袋及姓名標籤。
◎ 70D DRYTEC®2L（耐水壓20,000mm+，透氣度13,000g/㎡）。</t>
        </is>
      </c>
    </row>
    <row r="376">
      <c r="A376" t="inlineStr"/>
      <c r="B376" t="inlineStr"/>
      <c r="C376" t="inlineStr">
        <is>
          <t>KIDS &amp; BABY</t>
        </is>
      </c>
      <c r="D376">
        <f>U376</f>
        <v/>
      </c>
      <c r="E376" t="n">
        <v>1128793</v>
      </c>
      <c r="F376" t="inlineStr">
        <is>
          <t>KLEPPER JACKET KID'S</t>
        </is>
      </c>
      <c r="G376" t="inlineStr">
        <is>
          <t>BL      CPK      TQ</t>
        </is>
      </c>
      <c r="I376">
        <f>VLOOKUP(H376,[1]尺寸簡表!$C$3:$D$1263,2,0)</f>
        <v/>
      </c>
      <c r="J376" t="n">
        <v>2160</v>
      </c>
      <c r="K376" t="inlineStr">
        <is>
          <t>◎ 重量：140g。附贈收納袋及姓名標籤。
◎ 70D DRYTEC®2L（耐水壓20,000mm+，透氣度13,000g/㎡）。</t>
        </is>
      </c>
    </row>
    <row r="377">
      <c r="A377" t="inlineStr"/>
      <c r="B377" t="inlineStr"/>
      <c r="C377" t="inlineStr">
        <is>
          <t>KIDS &amp; BABY</t>
        </is>
      </c>
      <c r="D377">
        <f>U377</f>
        <v/>
      </c>
      <c r="E377" t="n">
        <v>1128794</v>
      </c>
      <c r="F377" t="inlineStr">
        <is>
          <t>KLEPPER PANTS KID'S</t>
        </is>
      </c>
      <c r="G377" t="inlineStr">
        <is>
          <t>NV</t>
        </is>
      </c>
      <c r="H377" t="inlineStr">
        <is>
          <t>NV</t>
        </is>
      </c>
      <c r="I377">
        <f>VLOOKUP(H377,[1]尺寸簡表!$C$3:$D$1263,2,0)</f>
        <v/>
      </c>
      <c r="J377" t="n">
        <v>2100</v>
      </c>
      <c r="K377" t="inlineStr">
        <is>
          <t>◎ 重量：120g。附贈收納袋及姓名標籤。
◎ 70D DRYTEC®2L（耐水壓20,000mm+，透氣度13,000g/㎡）。</t>
        </is>
      </c>
    </row>
    <row r="378">
      <c r="A378" t="inlineStr"/>
      <c r="B378" t="inlineStr"/>
      <c r="C378" t="inlineStr">
        <is>
          <t>KIDS &amp; BABY</t>
        </is>
      </c>
      <c r="D378">
        <f>U378</f>
        <v/>
      </c>
      <c r="E378" t="n">
        <v>1128795</v>
      </c>
      <c r="F378" t="inlineStr">
        <is>
          <t>KLEPPER PANTS KID'S</t>
        </is>
      </c>
      <c r="G378" t="inlineStr">
        <is>
          <t>NV</t>
        </is>
      </c>
      <c r="I378">
        <f>VLOOKUP(H378,[1]尺寸簡表!$C$3:$D$1263,2,0)</f>
        <v/>
      </c>
      <c r="J378" t="n">
        <v>1230</v>
      </c>
      <c r="K378" t="inlineStr">
        <is>
          <t>◎ 重量：85g。附贈收納袋及姓名標籤。
◎ 70D DRYTEC®2L（耐水壓20,000mm+，透氣度13,000g/㎡）。</t>
        </is>
      </c>
    </row>
    <row r="379">
      <c r="A379" t="inlineStr">
        <is>
          <t>26FW</t>
        </is>
      </c>
      <c r="B379" t="inlineStr">
        <is>
          <t>26FW</t>
        </is>
      </c>
      <c r="C379" t="inlineStr">
        <is>
          <t>KIDS &amp; BABY</t>
        </is>
      </c>
      <c r="D379">
        <f>U379</f>
        <v/>
      </c>
      <c r="E379" t="n">
        <v>1119211</v>
      </c>
      <c r="F379" t="inlineStr">
        <is>
          <t>L.W. SHORT SCARF</t>
        </is>
      </c>
      <c r="G379" t="inlineStr">
        <is>
          <t>#1      #2      #3</t>
        </is>
      </c>
      <c r="H379" t="inlineStr">
        <is>
          <t>#1</t>
        </is>
      </c>
      <c r="J379" t="n">
        <v>640</v>
      </c>
      <c r="K379" t="inlineStr">
        <is>
          <t>◎ 材質：CHAMEECE™，柔軟輕量的保暖刷毛圍巾，可愛動物臉孔設計，附有方便固定圍巾的套環，並具備受力時會自動脫落的安全設計。</t>
        </is>
      </c>
    </row>
    <row r="380">
      <c r="A380" t="inlineStr"/>
      <c r="B380" t="inlineStr"/>
      <c r="C380" t="inlineStr">
        <is>
          <t>KIDS &amp; BABY</t>
        </is>
      </c>
      <c r="D380">
        <f>U380</f>
        <v/>
      </c>
      <c r="E380" t="n">
        <v>1118402</v>
      </c>
      <c r="F380" t="inlineStr">
        <is>
          <t>LIGHT JACQUARD TIBETAN CAP KID'S</t>
        </is>
      </c>
      <c r="G380" t="inlineStr">
        <is>
          <t>BL      GN      LV</t>
        </is>
      </c>
      <c r="H380" t="inlineStr">
        <is>
          <t>LV      GN</t>
        </is>
      </c>
      <c r="J380" t="n">
        <v>980</v>
      </c>
      <c r="K380" t="inlineStr">
        <is>
          <t>◎ 材質：CHAMEECE™，不含PFAS。</t>
        </is>
      </c>
    </row>
    <row r="381">
      <c r="A381" t="inlineStr"/>
      <c r="B381" t="inlineStr"/>
      <c r="C381" t="inlineStr">
        <is>
          <t>KIDS &amp; BABY</t>
        </is>
      </c>
      <c r="D381">
        <f>U381</f>
        <v/>
      </c>
      <c r="E381" t="n">
        <v>1106803</v>
      </c>
      <c r="F381" t="inlineStr">
        <is>
          <t>LIGHT SHELL HOODED JACKET KID'S</t>
        </is>
      </c>
      <c r="G381" t="inlineStr">
        <is>
          <t>BGN      BK      LGY      LV      RD</t>
        </is>
      </c>
      <c r="H381" t="inlineStr">
        <is>
          <t>LGY      BGN</t>
        </is>
      </c>
      <c r="I381">
        <f>VLOOKUP(H381,[1]尺寸簡表!$C$3:$D$1263,2,0)</f>
        <v/>
      </c>
      <c r="J381" t="n">
        <v>2700</v>
      </c>
      <c r="K381" t="inlineStr">
        <is>
          <t>◎ 40D抗撕裂尼龍布料內有CIMAPLUS®MESH輕量超細纖維（撥水加工）。</t>
        </is>
      </c>
    </row>
    <row r="382">
      <c r="A382" t="inlineStr"/>
      <c r="B382" t="inlineStr"/>
      <c r="C382" t="inlineStr">
        <is>
          <t>KIDS &amp; BABY</t>
        </is>
      </c>
      <c r="D382">
        <f>U382</f>
        <v/>
      </c>
      <c r="E382" t="n">
        <v>1106804</v>
      </c>
      <c r="F382" t="inlineStr">
        <is>
          <t>LIGHT SHELL HOODED JACKET KID'S</t>
        </is>
      </c>
      <c r="G382" t="inlineStr">
        <is>
          <t>BGN      GN      LGN      LV      YL</t>
        </is>
      </c>
      <c r="H382" t="inlineStr">
        <is>
          <t>LV      LGN</t>
        </is>
      </c>
      <c r="I382">
        <f>VLOOKUP(H382,[1]尺寸簡表!$C$3:$D$1263,2,0)</f>
        <v/>
      </c>
      <c r="J382" t="n">
        <v>2450</v>
      </c>
      <c r="K382" t="inlineStr">
        <is>
          <t>◎ 40D 抗撕裂尼龍布料內有CIMAPLUS®MESH輕量超細纖維（撥水加工）。</t>
        </is>
      </c>
    </row>
    <row r="383">
      <c r="A383" t="inlineStr"/>
      <c r="B383" t="inlineStr"/>
      <c r="C383" t="inlineStr">
        <is>
          <t>KIDS &amp; BABY</t>
        </is>
      </c>
      <c r="D383">
        <f>U383</f>
        <v/>
      </c>
      <c r="E383" t="n">
        <v>1106806</v>
      </c>
      <c r="F383" t="inlineStr">
        <is>
          <t>LIGHT SHELL JACKET KID'S</t>
        </is>
      </c>
      <c r="G383" t="inlineStr">
        <is>
          <t>BK      BL      LGY      LV</t>
        </is>
      </c>
      <c r="H383" t="inlineStr">
        <is>
          <t>BL</t>
        </is>
      </c>
      <c r="I383">
        <f>VLOOKUP(H383,[1]尺寸簡表!$C$3:$D$1263,2,0)</f>
        <v/>
      </c>
      <c r="J383" t="n">
        <v>2490</v>
      </c>
      <c r="K383" t="inlineStr">
        <is>
          <t>◎材質： 40D抗撕裂尼龍布料內有CIMAPLUS®MESH輕量超細纖維（撥水加工）。</t>
        </is>
      </c>
    </row>
    <row r="384">
      <c r="A384" t="inlineStr"/>
      <c r="B384" t="inlineStr"/>
      <c r="C384" t="inlineStr">
        <is>
          <t>KIDS &amp; BABY</t>
        </is>
      </c>
      <c r="D384">
        <f>U384</f>
        <v/>
      </c>
      <c r="E384" t="n">
        <v>1106807</v>
      </c>
      <c r="F384" t="inlineStr">
        <is>
          <t>LIGHT SHELL JACKET KID'S</t>
        </is>
      </c>
      <c r="G384" t="inlineStr">
        <is>
          <t>BL      LGN      LV      YL</t>
        </is>
      </c>
      <c r="H384" t="inlineStr">
        <is>
          <t>YL</t>
        </is>
      </c>
      <c r="I384">
        <f>VLOOKUP(H384,[1]尺寸簡表!$C$3:$D$1263,2,0)</f>
        <v/>
      </c>
      <c r="J384" t="n">
        <v>2310</v>
      </c>
      <c r="K384" t="inlineStr">
        <is>
          <t>◎ 材質：40D抗撕裂尼龍布料內有CIMAPLUS®MESH輕量超細纖維（撥水加工）。</t>
        </is>
      </c>
    </row>
    <row r="385">
      <c r="A385" t="inlineStr"/>
      <c r="B385" t="inlineStr"/>
      <c r="C385" t="inlineStr">
        <is>
          <t>KIDS &amp; BABY</t>
        </is>
      </c>
      <c r="D385">
        <f>U385</f>
        <v/>
      </c>
      <c r="E385" t="n">
        <v>1105734</v>
      </c>
      <c r="F385" t="inlineStr">
        <is>
          <t>LINED O.D. PANTS KID'S</t>
        </is>
      </c>
      <c r="G385" t="inlineStr">
        <is>
          <t>DGN      NV      TN</t>
        </is>
      </c>
      <c r="H385" t="inlineStr">
        <is>
          <t>NV</t>
        </is>
      </c>
      <c r="I385">
        <f>VLOOKUP(H385,[1]尺寸簡表!$C$3:$D$1263,2,0)</f>
        <v/>
      </c>
      <c r="J385" t="n">
        <v>2400</v>
      </c>
      <c r="K385" t="inlineStr">
        <is>
          <t>◎ 主體：抗撕裂尼龍布94%+聚氨酯6%（撥水加工）、內裡：聚酯纖維。中腰直筒版型，厚手，單向彈性。</t>
        </is>
      </c>
    </row>
    <row r="386">
      <c r="A386" t="inlineStr"/>
      <c r="B386" t="inlineStr"/>
      <c r="C386" t="inlineStr">
        <is>
          <t>KIDS &amp; BABY</t>
        </is>
      </c>
      <c r="D386">
        <f>U386</f>
        <v/>
      </c>
      <c r="E386" t="n">
        <v>1105735</v>
      </c>
      <c r="F386" t="inlineStr">
        <is>
          <t>LINED O.D. PANTS KID'S</t>
        </is>
      </c>
      <c r="G386" t="inlineStr">
        <is>
          <t>DGN      NV      TN</t>
        </is>
      </c>
      <c r="I386">
        <f>VLOOKUP(H386,[1]尺寸簡表!$C$3:$D$1263,2,0)</f>
        <v/>
      </c>
      <c r="J386" t="n">
        <v>1960</v>
      </c>
      <c r="K386" t="inlineStr">
        <is>
          <t>◎ 主體：抗撕裂尼龍布94%+聚氨酯6%（撥水加工）、內裡：聚酯纖維。中腰直筒版型，厚手，單向彈性。</t>
        </is>
      </c>
    </row>
    <row r="387">
      <c r="A387" t="inlineStr">
        <is>
          <t>27SS</t>
        </is>
      </c>
      <c r="B387" t="inlineStr">
        <is>
          <t>27SS</t>
        </is>
      </c>
      <c r="C387" t="inlineStr">
        <is>
          <t>KIDS &amp; BABY</t>
        </is>
      </c>
      <c r="D387">
        <f>U387</f>
        <v/>
      </c>
      <c r="E387" t="n">
        <v>1128837</v>
      </c>
      <c r="F387" t="inlineStr">
        <is>
          <t>MEADOW CAP KID'S</t>
        </is>
      </c>
      <c r="G387" t="inlineStr">
        <is>
          <t>DTL      TQ</t>
        </is>
      </c>
      <c r="H387" t="inlineStr">
        <is>
          <t>TQ</t>
        </is>
      </c>
      <c r="J387" t="n">
        <v>1050</v>
      </c>
      <c r="K387" t="inlineStr">
        <is>
          <t xml:space="preserve"> ◎ 材質：40D尼龍（不含PFAS撥水加工），(SUPER) DRYTEC 3L（耐水壓20,000mm+） 。
◎ 仿棉質感，高度防水與透氣性、全縫線密封設計以及表面霧面處理。後方設有調節帶。</t>
        </is>
      </c>
    </row>
    <row r="388">
      <c r="A388" t="inlineStr"/>
      <c r="B388" t="inlineStr"/>
      <c r="C388" t="inlineStr">
        <is>
          <t>KIDS &amp; BABY</t>
        </is>
      </c>
      <c r="D388">
        <f>U388</f>
        <v/>
      </c>
      <c r="E388" t="n">
        <v>1128839</v>
      </c>
      <c r="F388" t="inlineStr">
        <is>
          <t>MEADOW LONG TAIL HAT KID'S</t>
        </is>
      </c>
      <c r="G388" t="inlineStr">
        <is>
          <t>DTL      YL</t>
        </is>
      </c>
      <c r="H388" t="inlineStr">
        <is>
          <t>YL</t>
        </is>
      </c>
      <c r="J388" t="n">
        <v>1410</v>
      </c>
      <c r="K388" t="inlineStr">
        <is>
          <t>◎ 表布：40D尼龍，不含PFAS。
◎ (SUPER) DRYTEC 3L（耐水壓20,000mm+，透氣度50,000g/㎡）。</t>
        </is>
      </c>
    </row>
    <row r="389">
      <c r="A389" t="inlineStr"/>
      <c r="B389" t="inlineStr"/>
      <c r="C389" t="inlineStr">
        <is>
          <t>KIDS &amp; BABY</t>
        </is>
      </c>
      <c r="D389">
        <f>U389</f>
        <v/>
      </c>
      <c r="E389" t="n">
        <v>1119226</v>
      </c>
      <c r="F389" t="inlineStr">
        <is>
          <t>MERINO WOOL TREKKING SOCKS KID'S</t>
        </is>
      </c>
      <c r="G389" t="inlineStr">
        <is>
          <t>DGY      NV      RD</t>
        </is>
      </c>
      <c r="H389" t="inlineStr">
        <is>
          <t>RD</t>
        </is>
      </c>
      <c r="I389">
        <f>VLOOKUP(H389,[1]尺寸簡表!$C$3:$D$1263,2,0)</f>
        <v/>
      </c>
      <c r="J389" t="n">
        <v>430</v>
      </c>
      <c r="K389" t="inlineStr">
        <is>
          <t>◎ 厚手羊毛童襪。</t>
        </is>
      </c>
    </row>
    <row r="390">
      <c r="A390" t="inlineStr">
        <is>
          <t>26FW</t>
        </is>
      </c>
      <c r="B390" t="inlineStr">
        <is>
          <t>26FW</t>
        </is>
      </c>
      <c r="C390" t="inlineStr">
        <is>
          <t>KIDS &amp; BABY</t>
        </is>
      </c>
      <c r="D390">
        <f>U390</f>
        <v/>
      </c>
      <c r="E390" t="n">
        <v>1119231</v>
      </c>
      <c r="F390" t="inlineStr">
        <is>
          <t>MONTA BEAR CAP KID'S</t>
        </is>
      </c>
      <c r="G390" t="inlineStr">
        <is>
          <t>BK</t>
        </is>
      </c>
      <c r="H390" t="inlineStr">
        <is>
          <t>BK</t>
        </is>
      </c>
      <c r="I390">
        <f>VLOOKUP(H390,[1]尺寸簡表!$C$3:$D$1263,2,0)</f>
        <v/>
      </c>
      <c r="J390" t="n">
        <v>830</v>
      </c>
      <c r="K390" t="inlineStr">
        <is>
          <t>◎ 兒童刷毛帽。採用長纖維的CLIMAAIR®觸感柔順的長刷毛。</t>
        </is>
      </c>
    </row>
    <row r="391">
      <c r="A391" t="inlineStr"/>
      <c r="B391" t="inlineStr"/>
      <c r="C391" t="inlineStr">
        <is>
          <t>KIDS &amp; BABY</t>
        </is>
      </c>
      <c r="D391">
        <f>U391</f>
        <v/>
      </c>
      <c r="E391" t="n">
        <v>1101757</v>
      </c>
      <c r="F391" t="inlineStr">
        <is>
          <t>NEIGE PARKA KID'S 100-130</t>
        </is>
      </c>
      <c r="G391" t="inlineStr">
        <is>
          <t>LGN      LV      NV      OG      YL</t>
        </is>
      </c>
      <c r="I391">
        <f>VLOOKUP(H391,[1]尺寸簡表!$C$3:$D$1263,2,0)</f>
        <v/>
      </c>
      <c r="J391" t="n">
        <v>3180</v>
      </c>
      <c r="K391" t="inlineStr">
        <is>
          <t>◎ 使用40D 尼龍（撥水加工），填充500FP羽絨。帽兜可拆。</t>
        </is>
      </c>
    </row>
    <row r="392">
      <c r="A392" t="inlineStr"/>
      <c r="B392" t="inlineStr"/>
      <c r="C392" t="inlineStr">
        <is>
          <t>KIDS &amp; BABY</t>
        </is>
      </c>
      <c r="D392">
        <f>U392</f>
        <v/>
      </c>
      <c r="E392" t="n">
        <v>1101756</v>
      </c>
      <c r="F392" t="inlineStr">
        <is>
          <t>NEIGE PARKA KID'S 140-160</t>
        </is>
      </c>
      <c r="G392" t="inlineStr">
        <is>
          <t>LGY      LV      NV      WRD      YL</t>
        </is>
      </c>
      <c r="H392" t="inlineStr">
        <is>
          <t>LV</t>
        </is>
      </c>
      <c r="I392">
        <f>VLOOKUP(H392,[1]尺寸簡表!$C$3:$D$1263,2,0)</f>
        <v/>
      </c>
      <c r="J392" t="n">
        <v>3660</v>
      </c>
      <c r="K392" t="inlineStr">
        <is>
          <t>◎ 重量：345g。
◎ 使用40D 尼龍（撥水加工），填充500FP羽絨。帽兜可拆。</t>
        </is>
      </c>
    </row>
    <row r="393">
      <c r="A393" t="inlineStr"/>
      <c r="B393" t="inlineStr"/>
      <c r="C393" t="inlineStr">
        <is>
          <t>KIDS &amp; BABY</t>
        </is>
      </c>
      <c r="D393">
        <f>U393</f>
        <v/>
      </c>
      <c r="E393" t="n">
        <v>1101760</v>
      </c>
      <c r="F393" t="inlineStr">
        <is>
          <t>NEIGE VEST KID'S 100-130</t>
        </is>
      </c>
      <c r="G393" t="inlineStr">
        <is>
          <t>NV      RD</t>
        </is>
      </c>
      <c r="I393">
        <f>VLOOKUP(H393,[1]尺寸簡表!$C$3:$D$1263,2,0)</f>
        <v/>
      </c>
      <c r="J393" t="n">
        <v>2070</v>
      </c>
      <c r="K393" t="inlineStr">
        <is>
          <t>◎ 重量：133g。
◎  使用40D 尼龍（撥水加工），填充500FP羽絨。</t>
        </is>
      </c>
    </row>
    <row r="394">
      <c r="A394" t="inlineStr"/>
      <c r="B394" t="inlineStr"/>
      <c r="C394" t="inlineStr">
        <is>
          <t>KIDS &amp; BABY</t>
        </is>
      </c>
      <c r="D394">
        <f>U394</f>
        <v/>
      </c>
      <c r="E394" t="n">
        <v>1101759</v>
      </c>
      <c r="F394" t="inlineStr">
        <is>
          <t>NEIGE VEST KID'S 140-160</t>
        </is>
      </c>
      <c r="G394" t="inlineStr">
        <is>
          <t>NV      RD</t>
        </is>
      </c>
      <c r="H394" t="inlineStr">
        <is>
          <t>RD</t>
        </is>
      </c>
      <c r="I394">
        <f>VLOOKUP(H394,[1]尺寸簡表!$C$3:$D$1263,2,0)</f>
        <v/>
      </c>
      <c r="J394" t="n">
        <v>2390</v>
      </c>
      <c r="K394" t="inlineStr">
        <is>
          <t>◎ 重量：184g。
◎ 使用40D 尼龍（撥水加工），填充500FP羽絨。</t>
        </is>
      </c>
    </row>
    <row r="395">
      <c r="A395" t="inlineStr"/>
      <c r="B395" t="inlineStr"/>
      <c r="C395" t="inlineStr">
        <is>
          <t>KIDS &amp; BABY</t>
        </is>
      </c>
      <c r="D395">
        <f>U395</f>
        <v/>
      </c>
      <c r="E395" t="n">
        <v>1105764</v>
      </c>
      <c r="F395" t="inlineStr">
        <is>
          <t>O.D. THERMAL WRAP SHORTS KID'S</t>
        </is>
      </c>
      <c r="G395" t="inlineStr">
        <is>
          <t>BK      BL</t>
        </is>
      </c>
      <c r="H395" t="inlineStr">
        <is>
          <t>BL</t>
        </is>
      </c>
      <c r="I395">
        <f>VLOOKUP(H395,[1]尺寸簡表!$C$3:$D$1263,2,0)</f>
        <v/>
      </c>
      <c r="J395" t="n">
        <v>2000</v>
      </c>
      <c r="K395" t="inlineStr">
        <is>
          <t>◎ 材質：CLIMAPRO™200（尼龍61%+聚酯纖維29%+聚氨酯10%），撥水加工。
◎ 防風速乾、保暖性佳，有彈性的保暖褲裙。</t>
        </is>
      </c>
    </row>
    <row r="396">
      <c r="A396" t="inlineStr"/>
      <c r="B396" t="inlineStr"/>
      <c r="C396" t="inlineStr">
        <is>
          <t>KIDS &amp; BABY</t>
        </is>
      </c>
      <c r="D396">
        <f>U396</f>
        <v/>
      </c>
      <c r="E396" t="n">
        <v>1105765</v>
      </c>
      <c r="F396" t="inlineStr">
        <is>
          <t>O.D. THERMAL WRAP SHORTS KID'S</t>
        </is>
      </c>
      <c r="G396" t="inlineStr">
        <is>
          <t>BK      BL</t>
        </is>
      </c>
      <c r="I396">
        <f>VLOOKUP(H396,[1]尺寸簡表!$C$3:$D$1263,2,0)</f>
        <v/>
      </c>
      <c r="J396" t="n">
        <v>1750</v>
      </c>
      <c r="K396" t="inlineStr">
        <is>
          <t>◎ 材質：CLIMAPRO™200（尼龍61%+聚酯纖維29%+聚氨酯10%），撥水加工。
◎ 防風速乾、保暖性佳，有彈性的保暖褲裙。</t>
        </is>
      </c>
    </row>
    <row r="397">
      <c r="A397" t="inlineStr"/>
      <c r="B397" t="inlineStr"/>
      <c r="C397" t="inlineStr">
        <is>
          <t>KIDS &amp; BABY</t>
        </is>
      </c>
      <c r="D397">
        <f>U397</f>
        <v/>
      </c>
      <c r="E397" t="n">
        <v>1119133</v>
      </c>
      <c r="F397" t="inlineStr">
        <is>
          <t>OVER MITTENS KID'S</t>
        </is>
      </c>
      <c r="G397" t="inlineStr">
        <is>
          <t>YL</t>
        </is>
      </c>
      <c r="H397" t="inlineStr">
        <is>
          <t>YL</t>
        </is>
      </c>
      <c r="I397">
        <f>VLOOKUP(H397,[1]尺寸簡表!$C$3:$D$1263,2,0)</f>
        <v/>
      </c>
      <c r="J397" t="n">
        <v>1050</v>
      </c>
      <c r="K397" t="inlineStr">
        <is>
          <t xml:space="preserve"> ◎ 表布：50D抗撕裂尼龍，DRYTEC® 3L(耐水壓20,000mm+)，縫線無貼條。
◎ 可套在針織手套或刷毛手套外層使用。附有可調式腕帶、單手調節扣、可連接雙手套的扣環及防丟繩套環。</t>
        </is>
      </c>
    </row>
    <row r="398">
      <c r="A398" t="inlineStr"/>
      <c r="B398" t="inlineStr"/>
      <c r="C398" t="inlineStr">
        <is>
          <t>KIDS &amp; BABY</t>
        </is>
      </c>
      <c r="D398">
        <f>U398</f>
        <v/>
      </c>
      <c r="E398" t="n">
        <v>1128800</v>
      </c>
      <c r="F398" t="inlineStr">
        <is>
          <t>PACK WRAP RAIN COAT KID'S</t>
        </is>
      </c>
      <c r="G398" t="inlineStr">
        <is>
          <t>BL      LBL      OG      TQ</t>
        </is>
      </c>
      <c r="H398" t="inlineStr">
        <is>
          <t>OG</t>
        </is>
      </c>
      <c r="I398">
        <f>VLOOKUP(H398,[1]尺寸簡表!$C$3:$D$1263,2,0)</f>
        <v/>
      </c>
      <c r="J398" t="n">
        <v>3550</v>
      </c>
      <c r="K398" t="inlineStr">
        <is>
          <t>◎  重量：261g。材質：70D尼龍（防撥水加工），DRYTEC®2L（耐水壓20,000mm+，透氣度13,000g/㎡）。
◎ 此款雨披長夾克可完全覆蓋背包，快速應付突如其來的大雨。</t>
        </is>
      </c>
    </row>
    <row r="399">
      <c r="A399" t="inlineStr"/>
      <c r="B399" t="inlineStr"/>
      <c r="C399" t="inlineStr">
        <is>
          <t>KIDS &amp; BABY</t>
        </is>
      </c>
      <c r="D399">
        <f>U399</f>
        <v/>
      </c>
      <c r="E399" t="n">
        <v>1128801</v>
      </c>
      <c r="F399" t="inlineStr">
        <is>
          <t>PACK WRAP RAIN COAT KID'S</t>
        </is>
      </c>
      <c r="G399" t="inlineStr">
        <is>
          <t>BL      PK      TQ      YL</t>
        </is>
      </c>
      <c r="I399">
        <f>VLOOKUP(H399,[1]尺寸簡表!$C$3:$D$1263,2,0)</f>
        <v/>
      </c>
      <c r="J399" t="n">
        <v>3240</v>
      </c>
      <c r="K399" t="inlineStr">
        <is>
          <t>◎  重量：201g。材質：70D尼龍（防撥水加工），DRYTEC®2L（耐水壓20,000mm+，透氣度13,000g/㎡）。
◎ 此款雨披長夾克可完全覆蓋背包，快速應付突如其來的大雨。</t>
        </is>
      </c>
    </row>
    <row r="400">
      <c r="A400" t="inlineStr"/>
      <c r="B400" t="inlineStr"/>
      <c r="C400" t="inlineStr">
        <is>
          <t>KIDS &amp; BABY</t>
        </is>
      </c>
      <c r="D400">
        <f>U400</f>
        <v/>
      </c>
      <c r="E400" t="n">
        <v>1108513</v>
      </c>
      <c r="F400" t="inlineStr">
        <is>
          <t>POLAR MITTENS KID'S</t>
        </is>
      </c>
      <c r="G400" t="inlineStr">
        <is>
          <t>CPK      IB/DN      OTML</t>
        </is>
      </c>
      <c r="H400" t="inlineStr">
        <is>
          <t>CPK</t>
        </is>
      </c>
      <c r="I400">
        <f>VLOOKUP(H400,[1]尺寸簡表!$C$3:$D$1263,2,0)</f>
        <v/>
      </c>
      <c r="J400" t="n">
        <v>560</v>
      </c>
      <c r="K400" t="inlineStr">
        <is>
          <t>◎ 材質：CLIMAPLUS®200(聚酯纖維)，重量：40g。
◎ 輕量保暖抓絨手套，手腕設防掉落環圈。</t>
        </is>
      </c>
    </row>
    <row r="401">
      <c r="A401" t="inlineStr"/>
      <c r="B401" t="inlineStr"/>
      <c r="C401" t="inlineStr">
        <is>
          <t>KIDS &amp; BABY</t>
        </is>
      </c>
      <c r="D401">
        <f>U401</f>
        <v/>
      </c>
      <c r="E401" t="n">
        <v>1118725</v>
      </c>
      <c r="F401" t="inlineStr">
        <is>
          <t>POWDER GLOVES KID'S</t>
        </is>
      </c>
      <c r="G401" t="inlineStr">
        <is>
          <t>BK      BL      LV      YL24</t>
        </is>
      </c>
      <c r="H401" t="inlineStr">
        <is>
          <t>YL24</t>
        </is>
      </c>
      <c r="I401">
        <f>VLOOKUP(H401,[1]尺寸簡表!$C$3:$D$1263,2,0)</f>
        <v/>
      </c>
      <c r="J401" t="n">
        <v>1440</v>
      </c>
      <c r="K401" t="inlineStr">
        <is>
          <t>◎ 表布：75D DRYTEC®2L（耐水壓20,000mm，透氣度15,000g/m²）。填充：EXCELOFT®專利中空纖維。手掌：人造皮革。</t>
        </is>
      </c>
    </row>
    <row r="402">
      <c r="A402" t="inlineStr"/>
      <c r="B402" t="inlineStr"/>
      <c r="C402" t="inlineStr">
        <is>
          <t>KIDS &amp; BABY</t>
        </is>
      </c>
      <c r="D402">
        <f>U402</f>
        <v/>
      </c>
      <c r="E402" t="n">
        <v>1102618</v>
      </c>
      <c r="F402" t="inlineStr">
        <is>
          <t>POWDER LIGHT PANTS KID'S 100-130</t>
        </is>
      </c>
      <c r="G402" t="inlineStr">
        <is>
          <t>LGY      NV</t>
        </is>
      </c>
      <c r="I402">
        <f>VLOOKUP(H402,[1]尺寸簡表!$C$3:$D$1263,2,0)</f>
        <v/>
      </c>
      <c r="J402" t="n">
        <v>2550</v>
      </c>
      <c r="K402" t="inlineStr">
        <is>
          <t>◎ 表布：75D聚酯纖維，DRYTEC®2L（耐水壓20,000mm+，透氣度13,000g/㎡）、內裡：20D聚酯纖維、填充：EXCELOFT®專利中空纖維。
◎ 專利的"GROWFIT SYSTEM"可隨孩子的成長調整最適長度。有雪裙內襯。</t>
        </is>
      </c>
    </row>
    <row r="403">
      <c r="A403" t="inlineStr"/>
      <c r="B403" t="inlineStr"/>
      <c r="C403" t="inlineStr">
        <is>
          <t>KIDS &amp; BABY</t>
        </is>
      </c>
      <c r="D403">
        <f>U403</f>
        <v/>
      </c>
      <c r="E403" t="n">
        <v>1102617</v>
      </c>
      <c r="F403" t="inlineStr">
        <is>
          <t>POWDER LIGHT PANTS KID'S 140-160</t>
        </is>
      </c>
      <c r="G403" t="inlineStr">
        <is>
          <t>LGY      NV</t>
        </is>
      </c>
      <c r="H403" t="inlineStr">
        <is>
          <t>NV</t>
        </is>
      </c>
      <c r="I403">
        <f>VLOOKUP(H403,[1]尺寸簡表!$C$3:$D$1263,2,0)</f>
        <v/>
      </c>
      <c r="J403" t="n">
        <v>2700</v>
      </c>
      <c r="K403" t="inlineStr">
        <is>
          <t>◎ 表布：75D聚酯纖維，DRYTEC®2L（耐水壓20,000mm+，透氣度13,000g/㎡）、內裡：20D聚酯纖維、填充：EXCELOFT®專利中空纖維。
◎ 專利的"GROWFIT SYSTEM"可隨孩子的成長調整最適長度。有雪裙內襯。</t>
        </is>
      </c>
    </row>
    <row r="404">
      <c r="A404" t="inlineStr"/>
      <c r="B404" t="inlineStr"/>
      <c r="C404" t="inlineStr">
        <is>
          <t>KIDS &amp; BABY</t>
        </is>
      </c>
      <c r="D404">
        <f>U404</f>
        <v/>
      </c>
      <c r="E404" t="n">
        <v>1102616</v>
      </c>
      <c r="F404" t="inlineStr">
        <is>
          <t>POWDER LIGHT PARKA KID'S 100-130</t>
        </is>
      </c>
      <c r="G404" t="inlineStr">
        <is>
          <t>BK      BL      OG      YL</t>
        </is>
      </c>
      <c r="I404">
        <f>VLOOKUP(H404,[1]尺寸簡表!$C$3:$D$1263,2,0)</f>
        <v/>
      </c>
      <c r="J404" t="n">
        <v>3500</v>
      </c>
      <c r="K404" t="inlineStr">
        <is>
          <t>◎ 表布：75D聚酯纖維，DRYTEC®2L（耐水壓20,000mm+，透氣度13,000g/㎡）、內裡：20D聚酯纖維、填充：EXCELOFT®專利中空纖維。
◎ 專利的"GROWFIT SYSTEM"可隨孩子的成長調整最適長度。有雪裙內襯。</t>
        </is>
      </c>
    </row>
    <row r="405">
      <c r="A405" t="inlineStr"/>
      <c r="B405" t="inlineStr"/>
      <c r="C405" t="inlineStr">
        <is>
          <t>KIDS &amp; BABY</t>
        </is>
      </c>
      <c r="D405">
        <f>U405</f>
        <v/>
      </c>
      <c r="E405" t="n">
        <v>1102615</v>
      </c>
      <c r="F405" t="inlineStr">
        <is>
          <t>POWDER LIGHT PARKA KID'S 140-160</t>
        </is>
      </c>
      <c r="G405" t="inlineStr">
        <is>
          <t>BK      IV      OG      YL</t>
        </is>
      </c>
      <c r="H405" t="inlineStr">
        <is>
          <t>YL</t>
        </is>
      </c>
      <c r="I405">
        <f>VLOOKUP(H405,[1]尺寸簡表!$C$3:$D$1263,2,0)</f>
        <v/>
      </c>
      <c r="J405" t="n">
        <v>3980</v>
      </c>
      <c r="K405" t="inlineStr">
        <is>
          <t>◎ 表布：75D聚酯纖維，DRYTEC®2L（耐水壓20,000mm+，透氣度13,000g/㎡）、內裡：20D聚酯纖維、填充：EXCELOFT®專利中空纖維。
◎ 專利的"GROWFIT SYSTEM"可隨孩子的成長調整最適長度。有雪裙內襯。</t>
        </is>
      </c>
    </row>
    <row r="406">
      <c r="A406" t="inlineStr"/>
      <c r="B406" t="inlineStr"/>
      <c r="C406" t="inlineStr">
        <is>
          <t>KIDS &amp; BABY</t>
        </is>
      </c>
      <c r="D406">
        <f>U406</f>
        <v/>
      </c>
      <c r="E406" t="n">
        <v>1118726</v>
      </c>
      <c r="F406" t="inlineStr">
        <is>
          <t>POWDER MITTENS KID'S</t>
        </is>
      </c>
      <c r="G406" t="inlineStr">
        <is>
          <t>BK      BL      LV      YL24</t>
        </is>
      </c>
      <c r="I406">
        <f>VLOOKUP(H406,[1]尺寸簡表!$C$3:$D$1263,2,0)</f>
        <v/>
      </c>
      <c r="J406" t="n">
        <v>1370</v>
      </c>
      <c r="K406" t="inlineStr">
        <is>
          <t>◎ 表布：75D DRYTEC®2L（耐水壓20,000mm，透氣度15,000g/m²）。填充：EXCELOFT®專利中空纖維。手掌：人造皮革。</t>
        </is>
      </c>
    </row>
    <row r="407">
      <c r="A407" t="inlineStr">
        <is>
          <t>26FW</t>
        </is>
      </c>
      <c r="B407" t="inlineStr">
        <is>
          <t>26FW</t>
        </is>
      </c>
      <c r="C407" t="inlineStr">
        <is>
          <t>KIDS &amp; BABY</t>
        </is>
      </c>
      <c r="D407">
        <f>U407</f>
        <v/>
      </c>
      <c r="E407" t="n">
        <v>1119216</v>
      </c>
      <c r="F407" t="inlineStr">
        <is>
          <t>POWDER MITTENS KID'S</t>
        </is>
      </c>
      <c r="G407" t="inlineStr">
        <is>
          <t>BL      LV      YL</t>
        </is>
      </c>
      <c r="H407" t="inlineStr">
        <is>
          <t>YL</t>
        </is>
      </c>
      <c r="I407">
        <f>VLOOKUP(H407,[1]尺寸簡表!$C$3:$D$1263,2,0)</f>
        <v/>
      </c>
      <c r="J407" t="n">
        <v>1180</v>
      </c>
      <c r="K407" t="inlineStr">
        <is>
          <t>◎ 表布：75D 聚酯纖維（DRYTEC® 2L）、內裡：聚酯纖維、填充：EXCELOFT®專利中空纖維、手掌：矽膠防滑處理。
◎ 指尖採包覆設計，配備可調式手腕帶、單手調節扣（專利設計）、防丟繩套環以及可連接雙手套的扣環。</t>
        </is>
      </c>
    </row>
    <row r="408">
      <c r="A408" t="inlineStr"/>
      <c r="B408" t="inlineStr"/>
      <c r="C408" t="inlineStr">
        <is>
          <t>KIDS &amp; BABY</t>
        </is>
      </c>
      <c r="D408">
        <f>U408</f>
        <v/>
      </c>
      <c r="E408" t="n">
        <v>1102614</v>
      </c>
      <c r="F408" t="inlineStr">
        <is>
          <t>POWDER STEP PANTS KID'S 110-130</t>
        </is>
      </c>
      <c r="G408" t="inlineStr">
        <is>
          <t>BK      LGY      NV</t>
        </is>
      </c>
      <c r="I408">
        <f>VLOOKUP(H408,[1]尺寸簡表!$C$3:$D$1263,2,0)</f>
        <v/>
      </c>
      <c r="J408" t="n">
        <v>3020</v>
      </c>
      <c r="K408" t="inlineStr">
        <is>
          <t>◎ 表布：75D聚酯纖維，(SUPER) DRYTEC 2L（耐水壓20,000mm+，透氣度13,000g/㎡）、內裡：20D聚酯纖維、填充：EXCELOFT®專利中空纖維。
◎ 專利的"GROWFIT SYSTEM"可隨孩子的成長調整最適長度。</t>
        </is>
      </c>
    </row>
    <row r="409">
      <c r="A409" t="inlineStr"/>
      <c r="B409" t="inlineStr"/>
      <c r="C409" t="inlineStr">
        <is>
          <t>KIDS &amp; BABY</t>
        </is>
      </c>
      <c r="D409">
        <f>U409</f>
        <v/>
      </c>
      <c r="E409" t="n">
        <v>1102613</v>
      </c>
      <c r="F409" t="inlineStr">
        <is>
          <t>POWDER STEP PANTS KID'S 140-160</t>
        </is>
      </c>
      <c r="G409" t="inlineStr">
        <is>
          <t>BK      LGY      NV</t>
        </is>
      </c>
      <c r="H409" t="inlineStr">
        <is>
          <t>LGY</t>
        </is>
      </c>
      <c r="I409">
        <f>VLOOKUP(H409,[1]尺寸簡表!$C$3:$D$1263,2,0)</f>
        <v/>
      </c>
      <c r="J409" t="n">
        <v>3340</v>
      </c>
      <c r="K409" t="inlineStr">
        <is>
          <t>◎ 表布：75D聚酯纖維，(SUPER) DRYTEC 2L（耐水壓20,000mm+，透氣度13,000g/㎡）、內裡：20D聚酯纖維、填充：EXCELOFT®專利中空纖維。
◎ 專利的"GROWFIT SYSTEM"可隨孩子的成長調整最適長度。</t>
        </is>
      </c>
    </row>
    <row r="410">
      <c r="A410" t="inlineStr"/>
      <c r="B410" t="inlineStr"/>
      <c r="C410" t="inlineStr">
        <is>
          <t>KIDS &amp; BABY</t>
        </is>
      </c>
      <c r="D410">
        <f>U410</f>
        <v/>
      </c>
      <c r="E410" t="n">
        <v>1102612</v>
      </c>
      <c r="F410" t="inlineStr">
        <is>
          <t>POWDER STEP PARKA KID'S 110-130</t>
        </is>
      </c>
      <c r="G410" t="inlineStr">
        <is>
          <t>BL      GN      IV      LBL</t>
        </is>
      </c>
      <c r="I410">
        <f>VLOOKUP(H410,[1]尺寸簡表!$C$3:$D$1263,2,0)</f>
        <v/>
      </c>
      <c r="J410" t="n">
        <v>3820</v>
      </c>
      <c r="K410" t="inlineStr">
        <is>
          <t>◎ 表布：75D聚酯纖維，(SUPER) DRYTEC 2L（耐水壓20,000mm+，透氣度13,000g/㎡）、內裡：20D聚酯纖維、填充：EXCELOFT®專利中空纖維。
◎ 專利的"GROWFIT SYSTEM"可隨孩子的成長調整最適長度，有雪裙。</t>
        </is>
      </c>
    </row>
    <row r="411">
      <c r="A411" t="inlineStr"/>
      <c r="B411" t="inlineStr"/>
      <c r="C411" t="inlineStr">
        <is>
          <t>KIDS &amp; BABY</t>
        </is>
      </c>
      <c r="D411">
        <f>U411</f>
        <v/>
      </c>
      <c r="E411" t="n">
        <v>1102611</v>
      </c>
      <c r="F411" t="inlineStr">
        <is>
          <t>POWDER STEP PARKA KID'S 140-160</t>
        </is>
      </c>
      <c r="G411" t="inlineStr">
        <is>
          <t>BK      DGN      LBL      LV</t>
        </is>
      </c>
      <c r="H411" t="inlineStr">
        <is>
          <t>LBL</t>
        </is>
      </c>
      <c r="I411">
        <f>VLOOKUP(H411,[1]尺寸簡表!$C$3:$D$1263,2,0)</f>
        <v/>
      </c>
      <c r="J411" t="n">
        <v>4450</v>
      </c>
      <c r="K411" t="inlineStr">
        <is>
          <t>◎ 表布：75D聚酯纖維，(SUPER) DRYTEC２L、內裡：20D聚酯纖維、填充：EXCELOFT®專利中空纖維。
◎ 專利的"GROWFIT SYSTEM"可隨孩子的成長調整最適長度，有雪裙。</t>
        </is>
      </c>
    </row>
    <row r="412">
      <c r="A412" t="inlineStr"/>
      <c r="B412" t="inlineStr"/>
      <c r="C412" t="inlineStr">
        <is>
          <t>KIDS &amp; BABY</t>
        </is>
      </c>
      <c r="D412">
        <f>U412</f>
        <v/>
      </c>
      <c r="E412" t="n">
        <v>1128805</v>
      </c>
      <c r="F412" t="inlineStr">
        <is>
          <t>PRINT TREKKING RAIN PONCHO KID'S</t>
        </is>
      </c>
      <c r="G412" t="inlineStr">
        <is>
          <t>GN      OG</t>
        </is>
      </c>
      <c r="H412" t="inlineStr">
        <is>
          <t>OG</t>
        </is>
      </c>
      <c r="J412" t="n">
        <v>2530</v>
      </c>
      <c r="K412" t="inlineStr">
        <is>
          <t xml:space="preserve">◎ 重量：235g。
◎ 40D尼龍，HYDROPRO®防水塗層（耐水壓5,000mm）2L防水塗層（耐水壓5,000mm），不含PFAS。 表布反光材質可增加安全性，附有姓名識別牌。
</t>
        </is>
      </c>
    </row>
    <row r="413">
      <c r="A413" t="inlineStr"/>
      <c r="B413" t="inlineStr"/>
      <c r="C413" t="inlineStr">
        <is>
          <t>KIDS &amp; BABY</t>
        </is>
      </c>
      <c r="D413">
        <f>U413</f>
        <v/>
      </c>
      <c r="E413" t="n">
        <v>1128806</v>
      </c>
      <c r="F413" t="inlineStr">
        <is>
          <t>PRINT TREKKING RAIN PONCHO KID'S</t>
        </is>
      </c>
      <c r="G413" t="inlineStr">
        <is>
          <t>GN      OG</t>
        </is>
      </c>
      <c r="J413" t="n">
        <v>2310</v>
      </c>
      <c r="K413" t="inlineStr">
        <is>
          <t xml:space="preserve">◎ 重量：195g。
◎ 40D尼龍，HYDROPRO®防水塗層（耐水壓5,000mm）2L防水塗層（耐水壓5,000mm）、不含PFAS。表布反光材質可增加安全性，附有姓名識別牌。
</t>
        </is>
      </c>
    </row>
    <row r="414">
      <c r="A414" t="inlineStr"/>
      <c r="B414" t="inlineStr"/>
      <c r="C414" t="inlineStr">
        <is>
          <t>KIDS &amp; BABY</t>
        </is>
      </c>
      <c r="D414">
        <f>U414</f>
        <v/>
      </c>
      <c r="E414" t="n">
        <v>1128807</v>
      </c>
      <c r="F414" t="inlineStr">
        <is>
          <t>PRINT TREKKING RAIN PONCHO KID'S</t>
        </is>
      </c>
      <c r="G414" t="inlineStr">
        <is>
          <t>GN      OG</t>
        </is>
      </c>
      <c r="J414" t="n">
        <v>2100</v>
      </c>
      <c r="K414" t="inlineStr">
        <is>
          <t xml:space="preserve">◎ 重量：165g。
◎ 40D尼龍，HYDROPRO®防水塗層（耐水壓5,000mm）不含PFAS。表布反光材質可增加安全性，附有姓名識別牌。
</t>
        </is>
      </c>
    </row>
    <row r="415">
      <c r="A415" t="inlineStr"/>
      <c r="B415" t="inlineStr"/>
      <c r="C415" t="inlineStr">
        <is>
          <t>KIDS &amp; BABY</t>
        </is>
      </c>
      <c r="D415">
        <f>U415</f>
        <v/>
      </c>
      <c r="E415" t="n">
        <v>1118699</v>
      </c>
      <c r="F415" t="inlineStr">
        <is>
          <t>REVERSIBLE BIRD BILL CAP KID'S</t>
        </is>
      </c>
      <c r="G415" t="inlineStr">
        <is>
          <t>IV      NV      YL</t>
        </is>
      </c>
      <c r="H415" t="inlineStr">
        <is>
          <t>NV</t>
        </is>
      </c>
      <c r="J415" t="n">
        <v>900</v>
      </c>
      <c r="K415" t="inlineStr">
        <is>
          <t>◎ 頭圍：51～54cm、帽簷寬度：6.0cm。
◎ 70D尼龍、塑膠條。帽簷使用可彎折的膠條隨意塑形、UV CUT。</t>
        </is>
      </c>
    </row>
    <row r="416">
      <c r="A416" t="inlineStr"/>
      <c r="B416" t="inlineStr"/>
      <c r="C416" t="inlineStr">
        <is>
          <t>KIDS &amp; BABY</t>
        </is>
      </c>
      <c r="D416">
        <f>U416</f>
        <v/>
      </c>
      <c r="E416" t="n">
        <v>1101752</v>
      </c>
      <c r="F416" t="inlineStr">
        <is>
          <t>REVERSIBLE PARKA KID'S 100-130</t>
        </is>
      </c>
      <c r="G416" t="inlineStr">
        <is>
          <t>BK      BL      PU      TN</t>
        </is>
      </c>
      <c r="I416">
        <f>VLOOKUP(H416,[1]尺寸簡表!$C$3:$D$1263,2,0)</f>
        <v/>
      </c>
      <c r="J416" t="n">
        <v>3660</v>
      </c>
      <c r="K416" t="inlineStr">
        <is>
          <t>◎ 使用40D 尼龍，填充500FP羽絨（厚手）。可雙面穿著、帽兜可拆。</t>
        </is>
      </c>
    </row>
    <row r="417">
      <c r="A417" t="inlineStr"/>
      <c r="B417" t="inlineStr"/>
      <c r="C417" t="inlineStr">
        <is>
          <t>KIDS &amp; BABY</t>
        </is>
      </c>
      <c r="D417">
        <f>U417</f>
        <v/>
      </c>
      <c r="E417" t="n">
        <v>1101751</v>
      </c>
      <c r="F417" t="inlineStr">
        <is>
          <t>REVERSIBLE PARKA KID'S 140-160</t>
        </is>
      </c>
      <c r="G417" t="inlineStr">
        <is>
          <t>BK      NV      NV1      RD</t>
        </is>
      </c>
      <c r="H417" t="inlineStr">
        <is>
          <t>RD</t>
        </is>
      </c>
      <c r="I417">
        <f>VLOOKUP(H417,[1]尺寸簡表!$C$3:$D$1263,2,0)</f>
        <v/>
      </c>
      <c r="J417" t="n">
        <v>3980</v>
      </c>
      <c r="K417" t="inlineStr">
        <is>
          <t>◎ 使用40D 尼龍，填充500FP羽絨（厚手）。可雙面穿著、帽兜可拆。</t>
        </is>
      </c>
    </row>
    <row r="418">
      <c r="A418" t="inlineStr"/>
      <c r="B418" t="inlineStr"/>
      <c r="C418" t="inlineStr">
        <is>
          <t>KIDS &amp; BABY</t>
        </is>
      </c>
      <c r="D418">
        <f>U418</f>
        <v/>
      </c>
      <c r="E418" t="n">
        <v>1119128</v>
      </c>
      <c r="F418" t="inlineStr">
        <is>
          <t>RIB KNIT LIGHT SCARF KID'S #1</t>
        </is>
      </c>
      <c r="G418" t="inlineStr">
        <is>
          <t>BL      YL</t>
        </is>
      </c>
      <c r="H418" t="inlineStr">
        <is>
          <t>YL</t>
        </is>
      </c>
      <c r="J418" t="n">
        <v>800</v>
      </c>
      <c r="K418" t="inlineStr">
        <is>
          <t>◎ 材質：聚酯纖維100%。
◎ 色彩繽紛的結子紗編織而成，具備自然質感的薄款圍巾。</t>
        </is>
      </c>
    </row>
    <row r="419">
      <c r="A419" t="inlineStr"/>
      <c r="B419" t="inlineStr"/>
      <c r="C419" t="inlineStr">
        <is>
          <t>KIDS &amp; BABY</t>
        </is>
      </c>
      <c r="D419">
        <f>U419</f>
        <v/>
      </c>
      <c r="E419" t="n">
        <v>1119124</v>
      </c>
      <c r="F419" t="inlineStr">
        <is>
          <t>RIB KNIT LIGHT WATCH CAP KID'S #1</t>
        </is>
      </c>
      <c r="G419" t="inlineStr">
        <is>
          <t>BL      YL</t>
        </is>
      </c>
      <c r="H419" t="inlineStr">
        <is>
          <t>YL</t>
        </is>
      </c>
      <c r="J419" t="n">
        <v>700</v>
      </c>
      <c r="K419" t="inlineStr">
        <is>
          <t>◎ 材質：100% 壓克力纖維。</t>
        </is>
      </c>
    </row>
    <row r="420">
      <c r="A420" t="inlineStr">
        <is>
          <t>26FW</t>
        </is>
      </c>
      <c r="B420" t="inlineStr">
        <is>
          <t>26FW</t>
        </is>
      </c>
      <c r="C420" t="inlineStr">
        <is>
          <t>KIDS &amp; BABY</t>
        </is>
      </c>
      <c r="D420">
        <f>U420</f>
        <v/>
      </c>
      <c r="E420" t="n">
        <v>1119208</v>
      </c>
      <c r="F420" t="inlineStr">
        <is>
          <t>SHEARLING O.D. CAP KID'S MONTA BEAR</t>
        </is>
      </c>
      <c r="G420" t="inlineStr">
        <is>
          <t>BK</t>
        </is>
      </c>
      <c r="H420" t="inlineStr">
        <is>
          <t>BK</t>
        </is>
      </c>
      <c r="J420" t="n">
        <v>950</v>
      </c>
      <c r="K420" t="inlineStr">
        <is>
          <t>◎ CLIMAPLUS® （100%聚酯纖維），不含PFAS。
◎ 帽簷長度：6.5cm。蓬鬆如羊毛般的質地，後方設有調節帶。</t>
        </is>
      </c>
    </row>
    <row r="421">
      <c r="A421" t="inlineStr"/>
      <c r="B421" t="inlineStr"/>
      <c r="C421" t="inlineStr">
        <is>
          <t>KIDS &amp; BABY</t>
        </is>
      </c>
      <c r="D421">
        <f>U421</f>
        <v/>
      </c>
      <c r="E421" t="n">
        <v>1128749</v>
      </c>
      <c r="F421" t="inlineStr">
        <is>
          <t>STORM CRUISER JACKET KID'S</t>
        </is>
      </c>
      <c r="G421" t="inlineStr">
        <is>
          <t>BGN      TQ      YL</t>
        </is>
      </c>
      <c r="H421" t="inlineStr">
        <is>
          <t>TQ</t>
        </is>
      </c>
      <c r="I421">
        <f>VLOOKUP(H421,[1]尺寸簡表!$C$3:$D$1263,2,0)</f>
        <v/>
      </c>
      <c r="J421" t="n">
        <v>5400</v>
      </c>
      <c r="K421" t="inlineStr">
        <is>
          <t xml:space="preserve"> ◎ 表布：30D抗撕裂尼龍，(SUPER) DRYTEC® 3L（耐水壓20,000mm+，透氣度40,000g/㎡）。
◎ 重量：195g。收納尺寸：Φ10 x 19cm。具備帽子抽繩調節功能與 Aqua-Tect 防水拉鍊，雙袖與背面配有反光條。</t>
        </is>
      </c>
    </row>
    <row r="422">
      <c r="A422" t="inlineStr"/>
      <c r="B422" t="inlineStr"/>
      <c r="C422" t="inlineStr">
        <is>
          <t>KIDS &amp; BABY</t>
        </is>
      </c>
      <c r="D422">
        <f>U422</f>
        <v/>
      </c>
      <c r="E422" t="n">
        <v>1101765</v>
      </c>
      <c r="F422" t="inlineStr">
        <is>
          <t>THERMALAND HOODED VEST KID'S100-130</t>
        </is>
      </c>
      <c r="G422" t="inlineStr">
        <is>
          <t>BL      IV</t>
        </is>
      </c>
      <c r="I422">
        <f>VLOOKUP(H422,[1]尺寸簡表!$C$3:$D$1263,2,0)</f>
        <v/>
      </c>
      <c r="J422" t="n">
        <v>2640</v>
      </c>
      <c r="K422" t="inlineStr">
        <is>
          <t>◎ 重量：233g。使用40D 尼龍，填充EXCELOFT®專利中空纖維。可雙面穿著、帽兜可拆。三枚差結構，高度防風。</t>
        </is>
      </c>
    </row>
    <row r="423">
      <c r="A423" t="inlineStr"/>
      <c r="B423" t="inlineStr"/>
      <c r="C423" t="inlineStr">
        <is>
          <t>KIDS &amp; BABY</t>
        </is>
      </c>
      <c r="D423">
        <f>U423</f>
        <v/>
      </c>
      <c r="E423" t="n">
        <v>1101764</v>
      </c>
      <c r="F423" t="inlineStr">
        <is>
          <t>THERMALAND HOODED VEST KID'S140-160</t>
        </is>
      </c>
      <c r="G423" t="inlineStr">
        <is>
          <t>IV      NV</t>
        </is>
      </c>
      <c r="H423" t="inlineStr">
        <is>
          <t>IV</t>
        </is>
      </c>
      <c r="I423">
        <f>VLOOKUP(H423,[1]尺寸簡表!$C$3:$D$1263,2,0)</f>
        <v/>
      </c>
      <c r="J423" t="n">
        <v>2770</v>
      </c>
      <c r="K423" t="inlineStr">
        <is>
          <t>◎ 重量：288g。使用40D 尼龍，填充EXCELOFT®專利中空纖維。可雙面穿著、帽兜可拆。三枚差結構，高度防風。</t>
        </is>
      </c>
    </row>
    <row r="424">
      <c r="A424" t="inlineStr"/>
      <c r="B424" t="inlineStr"/>
      <c r="C424" t="inlineStr">
        <is>
          <t>KIDS &amp; BABY</t>
        </is>
      </c>
      <c r="D424">
        <f>U424</f>
        <v/>
      </c>
      <c r="E424" t="n">
        <v>1101769</v>
      </c>
      <c r="F424" t="inlineStr">
        <is>
          <t>THERMALAND PARKA KID'S 100-130</t>
        </is>
      </c>
      <c r="G424" t="inlineStr">
        <is>
          <t>BL      GN      PK</t>
        </is>
      </c>
      <c r="I424">
        <f>VLOOKUP(H424,[1]尺寸簡表!$C$3:$D$1263,2,0)</f>
        <v/>
      </c>
      <c r="J424" t="n">
        <v>3500</v>
      </c>
      <c r="K424" t="inlineStr">
        <is>
          <t>◎ 重量：333g。使用40D 尼龍，，填充EXCELOFT®專利中空纖維。可雙面穿著、帽兜可拆。三枚差結構，高度防風。</t>
        </is>
      </c>
    </row>
    <row r="425">
      <c r="A425" t="inlineStr"/>
      <c r="B425" t="inlineStr"/>
      <c r="C425" t="inlineStr">
        <is>
          <t>KIDS &amp; BABY</t>
        </is>
      </c>
      <c r="D425">
        <f>U425</f>
        <v/>
      </c>
      <c r="E425" t="n">
        <v>1101768</v>
      </c>
      <c r="F425" t="inlineStr">
        <is>
          <t>THERMALAND PARKA KID'S 140-160</t>
        </is>
      </c>
      <c r="G425" t="inlineStr">
        <is>
          <t>GN      LBL      NV</t>
        </is>
      </c>
      <c r="H425" t="inlineStr">
        <is>
          <t>LBL</t>
        </is>
      </c>
      <c r="I425">
        <f>VLOOKUP(H425,[1]尺寸簡表!$C$3:$D$1263,2,0)</f>
        <v/>
      </c>
      <c r="J425" t="n">
        <v>3330</v>
      </c>
      <c r="K425" t="inlineStr">
        <is>
          <t>◎ 重量：422g。使用40D 尼龍，填充EXCELOFT®專利中空纖維。可雙面穿著、帽兜可拆。三枚差結構，高度防風。</t>
        </is>
      </c>
    </row>
    <row r="426">
      <c r="A426" t="inlineStr"/>
      <c r="B426" t="inlineStr"/>
      <c r="C426" t="inlineStr">
        <is>
          <t>KIDS &amp; BABY</t>
        </is>
      </c>
      <c r="D426">
        <f>U426</f>
        <v/>
      </c>
      <c r="E426" t="n">
        <v>1101490</v>
      </c>
      <c r="F426" t="inlineStr">
        <is>
          <t>THERMAWRAP PANTS KID'S</t>
        </is>
      </c>
      <c r="G426" t="inlineStr">
        <is>
          <t>BK      DGN</t>
        </is>
      </c>
      <c r="H426" t="inlineStr">
        <is>
          <t>DGN</t>
        </is>
      </c>
      <c r="I426">
        <f>VLOOKUP(H426,[1]尺寸簡表!$C$3:$D$1263,2,0)</f>
        <v/>
      </c>
      <c r="J426" t="n">
        <v>2100</v>
      </c>
      <c r="K426" t="inlineStr">
        <is>
          <t>◎ 重量：193g。使用40D SUPER MULTI NYLON（超耐久撥水加工）超耐久撥水加工表布，填充EXCELOFT®專利中空纖維。三枚差結構，高度防風。</t>
        </is>
      </c>
    </row>
    <row r="427">
      <c r="A427" t="inlineStr"/>
      <c r="B427" t="inlineStr"/>
      <c r="C427" t="inlineStr">
        <is>
          <t>KIDS &amp; BABY</t>
        </is>
      </c>
      <c r="D427">
        <f>U427</f>
        <v/>
      </c>
      <c r="E427" t="n">
        <v>1101491</v>
      </c>
      <c r="F427" t="inlineStr">
        <is>
          <t>THERMAWRAP PANTS KID'S</t>
        </is>
      </c>
      <c r="G427" t="inlineStr">
        <is>
          <t>BK      DGN</t>
        </is>
      </c>
      <c r="I427">
        <f>VLOOKUP(H427,[1]尺寸簡表!$C$3:$D$1263,2,0)</f>
        <v/>
      </c>
      <c r="J427" t="n">
        <v>1770</v>
      </c>
      <c r="K427" t="inlineStr">
        <is>
          <t>◎ 重量：137g。使用40D SUPER MULTI NYLON（超耐久撥水加工）超耐久撥水加工表布，填充EXCELOFT®專利中空纖維。三枚差結構，高度防風。</t>
        </is>
      </c>
    </row>
    <row r="428">
      <c r="A428" t="inlineStr"/>
      <c r="B428" t="inlineStr"/>
      <c r="C428" t="inlineStr">
        <is>
          <t>KIDS &amp; BABY</t>
        </is>
      </c>
      <c r="D428">
        <f>U428</f>
        <v/>
      </c>
      <c r="E428" t="n">
        <v>1101762</v>
      </c>
      <c r="F428" t="inlineStr">
        <is>
          <t>THERMAWRAP PARKA KID'S 100-130</t>
        </is>
      </c>
      <c r="G428" t="inlineStr">
        <is>
          <t>BL      NV      NV1</t>
        </is>
      </c>
      <c r="I428">
        <f>VLOOKUP(H428,[1]尺寸簡表!$C$3:$D$1263,2,0)</f>
        <v/>
      </c>
      <c r="J428" t="n">
        <v>2770</v>
      </c>
      <c r="K428" t="inlineStr">
        <is>
          <t>◎ 重量：260g。使用40D 尼龍，填充EXCELOFT®專利中空纖維。</t>
        </is>
      </c>
    </row>
    <row r="429">
      <c r="A429" t="inlineStr"/>
      <c r="B429" t="inlineStr"/>
      <c r="C429" t="inlineStr">
        <is>
          <t>KIDS &amp; BABY</t>
        </is>
      </c>
      <c r="D429">
        <f>U429</f>
        <v/>
      </c>
      <c r="E429" t="n">
        <v>1101761</v>
      </c>
      <c r="F429" t="inlineStr">
        <is>
          <t>THERMAWRAP PARKA KID'S 140-160</t>
        </is>
      </c>
      <c r="G429" t="inlineStr">
        <is>
          <t>BGN      GN      NV</t>
        </is>
      </c>
      <c r="H429" t="inlineStr">
        <is>
          <t>GN</t>
        </is>
      </c>
      <c r="I429">
        <f>VLOOKUP(H429,[1]尺寸簡表!$C$3:$D$1263,2,0)</f>
        <v/>
      </c>
      <c r="J429" t="n">
        <v>2960</v>
      </c>
      <c r="K429" t="inlineStr">
        <is>
          <t>◎ 重量：325g。使用40D 尼龍，填充EXCELOFT®專利中空纖維。</t>
        </is>
      </c>
    </row>
    <row r="430">
      <c r="A430" t="inlineStr"/>
      <c r="B430" t="inlineStr"/>
      <c r="C430" t="inlineStr">
        <is>
          <t>KIDS &amp; BABY</t>
        </is>
      </c>
      <c r="D430">
        <f>U430</f>
        <v/>
      </c>
      <c r="E430" t="n">
        <v>1101633</v>
      </c>
      <c r="F430" t="inlineStr">
        <is>
          <t>THERMAWRAP ROUND NECK JACKET KID'S</t>
        </is>
      </c>
      <c r="G430" t="inlineStr">
        <is>
          <t>BK/KG      IV      OC/NV</t>
        </is>
      </c>
      <c r="H430" t="inlineStr">
        <is>
          <t>IV</t>
        </is>
      </c>
      <c r="I430">
        <f>VLOOKUP(H430,[1]尺寸簡表!$C$3:$D$1263,2,0)</f>
        <v/>
      </c>
      <c r="J430" t="n">
        <v>2450</v>
      </c>
      <c r="K430" t="inlineStr">
        <is>
          <t>◎ 重量：261g。表布 40D尼龍，EXCELOFT®專利中空纖維填充，具優異保溫與速乾性。
◎ 圓領設計可作為中層或外套；三枚差結構 雙面可穿。</t>
        </is>
      </c>
    </row>
    <row r="431">
      <c r="A431" t="inlineStr"/>
      <c r="B431" t="inlineStr"/>
      <c r="C431" t="inlineStr">
        <is>
          <t>KIDS &amp; BABY</t>
        </is>
      </c>
      <c r="D431">
        <f>U431</f>
        <v/>
      </c>
      <c r="E431" t="n">
        <v>1101634</v>
      </c>
      <c r="F431" t="inlineStr">
        <is>
          <t>THERMAWRAP ROUND NECK JACKET KID'S</t>
        </is>
      </c>
      <c r="G431" t="inlineStr">
        <is>
          <t>BK      DGN      LT/MT</t>
        </is>
      </c>
      <c r="I431">
        <f>VLOOKUP(H431,[1]尺寸簡表!$C$3:$D$1263,2,0)</f>
        <v/>
      </c>
      <c r="J431" t="n">
        <v>2240</v>
      </c>
      <c r="K431" t="inlineStr">
        <is>
          <t>◎ 重量：188g。表布 40D尼龍，EXCELOFT®專利中空纖維填充，具優異保溫與速乾性。
◎ 圓領設計可作為中層或外套；三枚差結構 雙面可穿。</t>
        </is>
      </c>
    </row>
    <row r="432">
      <c r="A432" t="inlineStr"/>
      <c r="B432" t="inlineStr"/>
      <c r="C432" t="inlineStr">
        <is>
          <t>KIDS &amp; BABY</t>
        </is>
      </c>
      <c r="D432">
        <f>U432</f>
        <v/>
      </c>
      <c r="E432" t="n">
        <v>1101703</v>
      </c>
      <c r="F432" t="inlineStr">
        <is>
          <t>THERMAWRAP WARM PANTS KID'S</t>
        </is>
      </c>
      <c r="G432" t="inlineStr">
        <is>
          <t>LGY      NV</t>
        </is>
      </c>
      <c r="H432" t="inlineStr">
        <is>
          <t>LGY</t>
        </is>
      </c>
      <c r="I432">
        <f>VLOOKUP(H432,[1]尺寸簡表!$C$3:$D$1263,2,0)</f>
        <v/>
      </c>
      <c r="J432" t="n">
        <v>2380</v>
      </c>
      <c r="K432" t="inlineStr">
        <is>
          <t>◎ 表布：40D霧面尼龍（撥水加工、抗靜電）、內裡：40D SUPER MULTI NYLON（超耐久撥水加工）、填充：EXCELOFT®專利中空纖維。三枚差結構，防風、撥水的保暖長褲。</t>
        </is>
      </c>
    </row>
    <row r="433">
      <c r="A433" t="inlineStr"/>
      <c r="B433" t="inlineStr"/>
      <c r="C433" t="inlineStr">
        <is>
          <t>KIDS &amp; BABY</t>
        </is>
      </c>
      <c r="D433">
        <f>U433</f>
        <v/>
      </c>
      <c r="E433" t="n">
        <v>1101704</v>
      </c>
      <c r="F433" t="inlineStr">
        <is>
          <t>THERMAWRAP WARM PANTS KID'S</t>
        </is>
      </c>
      <c r="G433" t="inlineStr">
        <is>
          <t>LGY      NV</t>
        </is>
      </c>
      <c r="I433">
        <f>VLOOKUP(H433,[1]尺寸簡表!$C$3:$D$1263,2,0)</f>
        <v/>
      </c>
      <c r="J433" t="n">
        <v>2090</v>
      </c>
      <c r="K433" t="inlineStr">
        <is>
          <t>◎ 表布：40D霧面尼龍（撥水加工、抗靜電）、內裡：40D SUPER MULTI NYLON（超耐久撥水加工）、填充：EXCELOFT®專利中空纖維。三枚差結構，防風、撥水的保暖長褲。</t>
        </is>
      </c>
    </row>
    <row r="434">
      <c r="A434" t="inlineStr"/>
      <c r="B434" t="inlineStr"/>
      <c r="C434" t="inlineStr">
        <is>
          <t>KIDS &amp; BABY</t>
        </is>
      </c>
      <c r="D434">
        <f>U434</f>
        <v/>
      </c>
      <c r="E434" t="n">
        <v>1101754</v>
      </c>
      <c r="F434" t="inlineStr">
        <is>
          <t>THERMAWRAP WARM PARKA KID'S 100-130</t>
        </is>
      </c>
      <c r="G434" t="inlineStr">
        <is>
          <t>BL      GN      PK</t>
        </is>
      </c>
      <c r="I434">
        <f>VLOOKUP(H434,[1]尺寸簡表!$C$3:$D$1263,2,0)</f>
        <v/>
      </c>
      <c r="J434" t="n">
        <v>2900</v>
      </c>
      <c r="K434" t="inlineStr">
        <is>
          <t>◎ 使用40D 尼龍、內裡：20D 尼龍，填充EXCELOFT®專利中空纖維。可雙面穿著、帽兜可拆。三枚差結構，高度防風。</t>
        </is>
      </c>
    </row>
    <row r="435">
      <c r="A435" t="inlineStr"/>
      <c r="B435" t="inlineStr"/>
      <c r="C435" t="inlineStr">
        <is>
          <t>KIDS &amp; BABY</t>
        </is>
      </c>
      <c r="D435">
        <f>U435</f>
        <v/>
      </c>
      <c r="E435" t="n">
        <v>1101753</v>
      </c>
      <c r="F435" t="inlineStr">
        <is>
          <t>THERMAWRAP WARM PARKA KID'S 140-160</t>
        </is>
      </c>
      <c r="G435" t="inlineStr">
        <is>
          <t>BK      TQ      YL</t>
        </is>
      </c>
      <c r="H435" t="inlineStr">
        <is>
          <t>TQ</t>
        </is>
      </c>
      <c r="I435">
        <f>VLOOKUP(H435,[1]尺寸簡表!$C$3:$D$1263,2,0)</f>
        <v/>
      </c>
      <c r="J435" t="n">
        <v>3180</v>
      </c>
      <c r="K435" t="inlineStr">
        <is>
          <t>◎ 使用40D 尼龍、內裡：20D 尼龍，填充EXCELOFT®專利中空纖維。可雙面穿著、帽兜可拆。三枚差結構，高度防風。</t>
        </is>
      </c>
    </row>
    <row r="436">
      <c r="A436" t="inlineStr"/>
      <c r="B436" t="inlineStr"/>
      <c r="C436" t="inlineStr">
        <is>
          <t>KIDS &amp; BABY</t>
        </is>
      </c>
      <c r="D436">
        <f>U436</f>
        <v/>
      </c>
      <c r="E436" t="n">
        <v>1118609</v>
      </c>
      <c r="F436" t="inlineStr">
        <is>
          <t>THUNDER PASS GLOVES KID'S</t>
        </is>
      </c>
      <c r="G436" t="inlineStr">
        <is>
          <t>NV      YL</t>
        </is>
      </c>
      <c r="H436" t="inlineStr">
        <is>
          <t>YL</t>
        </is>
      </c>
      <c r="I436">
        <f>VLOOKUP(H436,[1]尺寸簡表!$C$3:$D$1263,2,0)</f>
        <v/>
      </c>
      <c r="J436" t="n">
        <v>980</v>
      </c>
      <c r="K436" t="inlineStr">
        <is>
          <t>◎ 表布：50D抗撕裂尼龍，DRYTEC® 3L(耐水壓20,000mm+，透氣度17,000g/㎡)，手掌為合成皮革。
◎尺寸：4-6歲（手圍：14.5～16.5cm）、7-9歲（手圍：16.5～18.0cm）、10-12歲（手圍：18.0～19.5cm）</t>
        </is>
      </c>
    </row>
    <row r="437">
      <c r="A437" t="inlineStr"/>
      <c r="B437" t="inlineStr"/>
      <c r="C437" t="inlineStr">
        <is>
          <t>KIDS &amp; BABY</t>
        </is>
      </c>
      <c r="D437">
        <f>U437</f>
        <v/>
      </c>
      <c r="E437" t="n">
        <v>1128788</v>
      </c>
      <c r="F437" t="inlineStr">
        <is>
          <t>THUNDER PASS JACKET KID'S</t>
        </is>
      </c>
      <c r="G437" t="inlineStr">
        <is>
          <t>LV      NV      RD      TQ</t>
        </is>
      </c>
      <c r="H437" t="inlineStr">
        <is>
          <t>TQ</t>
        </is>
      </c>
      <c r="I437">
        <f>VLOOKUP(H437,[1]尺寸簡表!$C$3:$D$1263,2,0)</f>
        <v/>
      </c>
      <c r="J437" t="n">
        <v>2750</v>
      </c>
      <c r="K437" t="inlineStr">
        <is>
          <t>◎重量：198g。材質：50D抗撕裂尼龍表布(超耐久撥水加工)，DRYTEC® 3L(耐水壓20,000mm+，透氣度17,000g/㎡)，布料不含 PFAS。
◎ 前襟拉鍊為防水拉鍊（口袋拉鍊仍有蓋片），重量輕。</t>
        </is>
      </c>
    </row>
    <row r="438">
      <c r="A438" t="inlineStr"/>
      <c r="B438" t="inlineStr"/>
      <c r="C438" t="inlineStr">
        <is>
          <t>KIDS &amp; BABY</t>
        </is>
      </c>
      <c r="D438">
        <f>U438</f>
        <v/>
      </c>
      <c r="E438" t="n">
        <v>1128789</v>
      </c>
      <c r="F438" t="inlineStr">
        <is>
          <t>THUNDER PASS JACKET KID'S</t>
        </is>
      </c>
      <c r="G438" t="inlineStr">
        <is>
          <t>BL      GN      LV      RD</t>
        </is>
      </c>
      <c r="I438">
        <f>VLOOKUP(H438,[1]尺寸簡表!$C$3:$D$1263,2,0)</f>
        <v/>
      </c>
      <c r="J438" t="n">
        <v>2530</v>
      </c>
      <c r="K438" t="inlineStr">
        <is>
          <t>◎  重量：158g。材質：50D抗撕裂尼龍表布(超耐久撥水加工)，DRYTEC® 3L(耐水壓20,000mm+，透氣度17,000g/㎡)，布料不含 PFAS。
◎ 前襟拉鍊為防水拉鍊（口袋拉鍊仍有蓋片）。</t>
        </is>
      </c>
    </row>
    <row r="439">
      <c r="A439" t="inlineStr"/>
      <c r="B439" t="inlineStr"/>
      <c r="C439" t="inlineStr">
        <is>
          <t>KIDS &amp; BABY</t>
        </is>
      </c>
      <c r="D439">
        <f>U439</f>
        <v/>
      </c>
      <c r="E439" t="n">
        <v>1128790</v>
      </c>
      <c r="F439" t="inlineStr">
        <is>
          <t>THUNDER PASS PANTS KID'S</t>
        </is>
      </c>
      <c r="G439" t="inlineStr">
        <is>
          <t>GY      NV</t>
        </is>
      </c>
      <c r="H439" t="inlineStr">
        <is>
          <t>GY</t>
        </is>
      </c>
      <c r="I439">
        <f>VLOOKUP(H439,[1]尺寸簡表!$C$3:$D$1263,2,0)</f>
        <v/>
      </c>
      <c r="J439" t="n">
        <v>2600</v>
      </c>
      <c r="K439" t="inlineStr">
        <is>
          <t>◎ 重量：125g。材質：50D抗撕裂尼龍表布(超耐久撥水加工)，DRYTEC® 3L(耐水壓20,000mm+，透氣度17,000g/㎡)，布料不含 PFAS。</t>
        </is>
      </c>
    </row>
    <row r="440">
      <c r="A440" t="inlineStr"/>
      <c r="B440" t="inlineStr"/>
      <c r="C440" t="inlineStr">
        <is>
          <t>KIDS &amp; BABY</t>
        </is>
      </c>
      <c r="D440">
        <f>U440</f>
        <v/>
      </c>
      <c r="E440" t="n">
        <v>1128791</v>
      </c>
      <c r="F440" t="inlineStr">
        <is>
          <t>THUNDER PASS PANTS KID'S</t>
        </is>
      </c>
      <c r="G440" t="inlineStr">
        <is>
          <t>BL      GY</t>
        </is>
      </c>
      <c r="I440">
        <f>VLOOKUP(H440,[1]尺寸簡表!$C$3:$D$1263,2,0)</f>
        <v/>
      </c>
      <c r="J440" t="n">
        <v>1600</v>
      </c>
      <c r="K440" t="inlineStr">
        <is>
          <t>◎ 重量：92g。材質：50D抗撕裂尼龍表布(超耐久撥水加工)，DRYTEC® 3L(耐水壓20,000mm+，透氣度17,000g/㎡)，布料不含 PFAS。</t>
        </is>
      </c>
    </row>
    <row r="441">
      <c r="A441" t="inlineStr"/>
      <c r="B441" t="inlineStr"/>
      <c r="C441" t="inlineStr">
        <is>
          <t>KIDS &amp; BABY</t>
        </is>
      </c>
      <c r="D441">
        <f>U441</f>
        <v/>
      </c>
      <c r="E441" t="n">
        <v>1118195</v>
      </c>
      <c r="F441" t="inlineStr">
        <is>
          <t>TRAIL ACTION GLOVES KID'S</t>
        </is>
      </c>
      <c r="G441" t="inlineStr">
        <is>
          <t>BLBK      CARNA</t>
        </is>
      </c>
      <c r="H441" t="inlineStr">
        <is>
          <t>CARNA</t>
        </is>
      </c>
      <c r="I441">
        <f>VLOOKUP(H441,[1]尺寸簡表!$C$3:$D$1263,2,0)</f>
        <v/>
      </c>
      <c r="J441" t="n">
        <v>880</v>
      </c>
      <c r="K441" t="inlineStr">
        <is>
          <t>◎ 使用STRETCH CLIMAPLUS®彈性布料布料（中厚手，尼龍47%+聚酯纖維36%+聚氨酯17%）：具有彈性、快乾、透氣、保暖的特性。指尖和手掌有防滑處理。</t>
        </is>
      </c>
    </row>
    <row r="442">
      <c r="A442" t="inlineStr"/>
      <c r="B442" t="inlineStr"/>
      <c r="C442" t="inlineStr">
        <is>
          <t>KIDS &amp; BABY</t>
        </is>
      </c>
      <c r="D442">
        <f>U442</f>
        <v/>
      </c>
      <c r="E442" t="n">
        <v>1106623</v>
      </c>
      <c r="F442" t="inlineStr">
        <is>
          <t>TRAIL ACTION HOODED JACKET KID'S</t>
        </is>
      </c>
      <c r="G442" t="inlineStr">
        <is>
          <t>BK/BK      CARNA      SPBL</t>
        </is>
      </c>
      <c r="H442" t="inlineStr">
        <is>
          <t>CARNA</t>
        </is>
      </c>
      <c r="I442">
        <f>VLOOKUP(H442,[1]尺寸簡表!$C$3:$D$1263,2,0)</f>
        <v/>
      </c>
      <c r="J442" t="n">
        <v>2100</v>
      </c>
      <c r="K442" t="inlineStr">
        <is>
          <t>◎ 使用STRETCH CLIMAPLUS®彈性布料布料（中厚手，尼龍47%+聚酯纖維36%+聚氨酯17%）：具有彈性、快乾、透氣、保暖的特性。</t>
        </is>
      </c>
    </row>
    <row r="443">
      <c r="A443" t="inlineStr"/>
      <c r="B443" t="inlineStr"/>
      <c r="C443" t="inlineStr">
        <is>
          <t>KIDS &amp; BABY</t>
        </is>
      </c>
      <c r="D443">
        <f>U443</f>
        <v/>
      </c>
      <c r="E443" t="n">
        <v>1106624</v>
      </c>
      <c r="F443" t="inlineStr">
        <is>
          <t>TRAIL ACTION HOODED JACKET KID'S</t>
        </is>
      </c>
      <c r="G443" t="inlineStr">
        <is>
          <t>CARNA      SPBL</t>
        </is>
      </c>
      <c r="I443">
        <f>VLOOKUP(H443,[1]尺寸簡表!$C$3:$D$1263,2,0)</f>
        <v/>
      </c>
      <c r="J443" t="n">
        <v>1730</v>
      </c>
      <c r="K443" t="inlineStr">
        <is>
          <t>◎ 使用STRETCH CLIMAPLUS®彈性布料布料（中厚手，尼龍47%+聚酯纖維36%+聚氨酯17%）：具有彈性、快乾、透氣、保暖的特性。</t>
        </is>
      </c>
    </row>
    <row r="444">
      <c r="A444" t="inlineStr"/>
      <c r="B444" t="inlineStr"/>
      <c r="C444" t="inlineStr">
        <is>
          <t>KIDS &amp; BABY</t>
        </is>
      </c>
      <c r="D444">
        <f>U444</f>
        <v/>
      </c>
      <c r="E444" t="n">
        <v>1107812</v>
      </c>
      <c r="F444" t="inlineStr">
        <is>
          <t>TRAIL TIGHTS KID'S</t>
        </is>
      </c>
      <c r="G444" t="inlineStr">
        <is>
          <t>BK      PU</t>
        </is>
      </c>
      <c r="H444" t="inlineStr">
        <is>
          <t>PU</t>
        </is>
      </c>
      <c r="I444">
        <f>VLOOKUP(H444,[1]尺寸簡表!$C$3:$D$1263,2,0)</f>
        <v/>
      </c>
      <c r="J444" t="n">
        <v>1260</v>
      </c>
      <c r="K444" t="inlineStr">
        <is>
          <t>◎ （中厚手）本體：聚酯纖維95%＋聚氨酯5%；腰部：聚酯纖維76%＋尼龍13%＋聚氨酯11%、UV CUT、抗菌除臭。</t>
        </is>
      </c>
    </row>
    <row r="445">
      <c r="A445" t="inlineStr"/>
      <c r="B445" t="inlineStr"/>
      <c r="C445" t="inlineStr">
        <is>
          <t>KIDS &amp; BABY</t>
        </is>
      </c>
      <c r="D445">
        <f>U445</f>
        <v/>
      </c>
      <c r="E445" t="n">
        <v>1107813</v>
      </c>
      <c r="F445" t="inlineStr">
        <is>
          <t>TRAIL TIGHTS KID'S</t>
        </is>
      </c>
      <c r="G445" t="inlineStr">
        <is>
          <t>BK      PU</t>
        </is>
      </c>
      <c r="I445">
        <f>VLOOKUP(H445,[1]尺寸簡表!$C$3:$D$1263,2,0)</f>
        <v/>
      </c>
      <c r="J445" t="n">
        <v>1080</v>
      </c>
      <c r="K445" t="inlineStr">
        <is>
          <t>◎ （中厚手）本體：聚酯纖維95%＋聚氨酯5%；腰部：聚酯纖維76%＋尼龍13%＋聚氨酯11%、UV CUT、抗菌除臭。</t>
        </is>
      </c>
    </row>
    <row r="446">
      <c r="A446" t="inlineStr">
        <is>
          <t>26FW</t>
        </is>
      </c>
      <c r="B446" t="inlineStr">
        <is>
          <t>26FW</t>
        </is>
      </c>
      <c r="C446" t="inlineStr">
        <is>
          <t>KIDS &amp; BABY</t>
        </is>
      </c>
      <c r="D446">
        <f>U446</f>
        <v/>
      </c>
      <c r="E446" t="n">
        <v>1101748</v>
      </c>
      <c r="F446" t="inlineStr">
        <is>
          <t>TRAVEL PARKA KID'S 100-130</t>
        </is>
      </c>
      <c r="G446" t="inlineStr">
        <is>
          <t>BGN      BK      WRD</t>
        </is>
      </c>
      <c r="I446">
        <f>VLOOKUP(H446,[1]尺寸簡表!$C$3:$D$1263,2,0)</f>
        <v/>
      </c>
      <c r="J446" t="n">
        <v>3660</v>
      </c>
      <c r="K446" t="inlineStr">
        <is>
          <t>◎ 表布：50D聚酯纖維（撥水加工），內裡：20D尼龍，填充物：500FP羽絨，不含PFAS。
◎ 可拆卸式兜帽設計，採用單層絎縫構造及防跑絨處理，並設有拉鍊頂端保護布。</t>
        </is>
      </c>
    </row>
    <row r="447">
      <c r="A447" t="inlineStr">
        <is>
          <t>26FW</t>
        </is>
      </c>
      <c r="B447" t="inlineStr">
        <is>
          <t>26FW</t>
        </is>
      </c>
      <c r="C447" t="inlineStr">
        <is>
          <t>KIDS &amp; BABY</t>
        </is>
      </c>
      <c r="D447">
        <f>U447</f>
        <v/>
      </c>
      <c r="E447" t="n">
        <v>1101747</v>
      </c>
      <c r="F447" t="inlineStr">
        <is>
          <t>TRAVEL PARKA KID'S 140-160</t>
        </is>
      </c>
      <c r="G447" t="inlineStr">
        <is>
          <t>BGN      BK      IV</t>
        </is>
      </c>
      <c r="H447" t="inlineStr">
        <is>
          <t>BGN</t>
        </is>
      </c>
      <c r="I447">
        <f>VLOOKUP(H447,[1]尺寸簡表!$C$3:$D$1263,2,0)</f>
        <v/>
      </c>
      <c r="J447" t="n">
        <v>4140</v>
      </c>
      <c r="K447" t="inlineStr">
        <is>
          <t>◎ 表布：50D聚酯纖維（撥水加工），內裡：20D尼龍，填充物：500FP羽絨，不含PFAS。
◎ 可拆卸式兜帽設計，採用單層絎縫構造及防跑絨處理，並設有拉鍊頂端保護布。</t>
        </is>
      </c>
    </row>
    <row r="448">
      <c r="A448" t="inlineStr"/>
      <c r="B448" t="inlineStr"/>
      <c r="C448" t="inlineStr">
        <is>
          <t>KIDS &amp; BABY</t>
        </is>
      </c>
      <c r="D448">
        <f>U448</f>
        <v/>
      </c>
      <c r="E448" t="n">
        <v>1128802</v>
      </c>
      <c r="F448" t="inlineStr">
        <is>
          <t>TREKKING RAIN PONCHO KID'S</t>
        </is>
      </c>
      <c r="G448" t="inlineStr">
        <is>
          <t>BGN      IV</t>
        </is>
      </c>
      <c r="H448" t="inlineStr">
        <is>
          <t>BGN</t>
        </is>
      </c>
      <c r="J448" t="n">
        <v>2410</v>
      </c>
      <c r="K448" t="inlineStr">
        <is>
          <t>◎重量：230g。
◎40D尼龍，HYDROPRO®防水塗層（耐水壓5,000mm）2L防水塗層（耐水壓5,000mm），不含PFAS。表布反光材質可增加安全性，附有姓名識別牌。</t>
        </is>
      </c>
    </row>
    <row r="449">
      <c r="A449" t="inlineStr"/>
      <c r="B449" t="inlineStr"/>
      <c r="C449" t="inlineStr">
        <is>
          <t>KIDS &amp; BABY</t>
        </is>
      </c>
      <c r="D449">
        <f>U449</f>
        <v/>
      </c>
      <c r="E449" t="n">
        <v>1128803</v>
      </c>
      <c r="F449" t="inlineStr">
        <is>
          <t>TREKKING RAIN PONCHO KID'S</t>
        </is>
      </c>
      <c r="G449" t="inlineStr">
        <is>
          <t>BGN      IV</t>
        </is>
      </c>
      <c r="J449" t="n">
        <v>2250</v>
      </c>
      <c r="K449" t="inlineStr">
        <is>
          <t>◎重量：193g。
◎40D尼龍，HYDROPRO®防水塗層（耐水壓5,000mm）2L防水塗層（耐水壓5,000mm），不含PFAS。表布反光材質可增加安全性，附有姓名識別牌。</t>
        </is>
      </c>
    </row>
    <row r="450">
      <c r="A450" t="inlineStr"/>
      <c r="B450" t="inlineStr"/>
      <c r="C450" t="inlineStr">
        <is>
          <t>KIDS &amp; BABY</t>
        </is>
      </c>
      <c r="D450">
        <f>U450</f>
        <v/>
      </c>
      <c r="E450" t="n">
        <v>1128804</v>
      </c>
      <c r="F450" t="inlineStr">
        <is>
          <t>TREKKING RAIN PONCHO KID'S</t>
        </is>
      </c>
      <c r="G450" t="inlineStr">
        <is>
          <t>BGN      IV</t>
        </is>
      </c>
      <c r="J450" t="n">
        <v>2040</v>
      </c>
      <c r="K450" t="inlineStr">
        <is>
          <t>◎重量：152g。
◎40D尼龍，HYDROPRO®防水塗層（耐水壓5,000mm）2L防水塗層（耐水壓5,000mm），不含PFAS。表布反光材質可增加安全性，附有姓名識別牌。</t>
        </is>
      </c>
    </row>
    <row r="451">
      <c r="A451" t="inlineStr"/>
      <c r="B451" t="inlineStr"/>
      <c r="C451" t="inlineStr">
        <is>
          <t>KIDS &amp; BABY</t>
        </is>
      </c>
      <c r="D451">
        <f>U451</f>
        <v/>
      </c>
      <c r="E451" t="n">
        <v>1114904</v>
      </c>
      <c r="F451" t="inlineStr">
        <is>
          <t>WICKRON LONG SLEEVE T KID'S CAMPING</t>
        </is>
      </c>
      <c r="G451" t="inlineStr">
        <is>
          <t>KH      RD</t>
        </is>
      </c>
      <c r="H451" t="inlineStr">
        <is>
          <t>RD</t>
        </is>
      </c>
      <c r="I451">
        <f>VLOOKUP(H451,[1]尺寸簡表!$C$3:$D$1263,2,0)</f>
        <v/>
      </c>
      <c r="J451" t="n">
        <v>870</v>
      </c>
      <c r="K451" t="inlineStr">
        <is>
          <t>◎ wickron® SUPER WICKDRY FIBER：光觸媒粒子分解異味、抗污、抑菌。抗起毛球、UV CUT。</t>
        </is>
      </c>
    </row>
    <row r="452">
      <c r="A452" t="inlineStr"/>
      <c r="B452" t="inlineStr"/>
      <c r="C452" t="inlineStr">
        <is>
          <t>KIDS &amp; BABY</t>
        </is>
      </c>
      <c r="D452">
        <f>U452</f>
        <v/>
      </c>
      <c r="E452" t="n">
        <v>1114905</v>
      </c>
      <c r="F452" t="inlineStr">
        <is>
          <t>WICKRON LONG SLEEVE T KID'S CAMPING</t>
        </is>
      </c>
      <c r="G452" t="inlineStr">
        <is>
          <t>KH      RD</t>
        </is>
      </c>
      <c r="H452" t="inlineStr">
        <is>
          <t>KH</t>
        </is>
      </c>
      <c r="I452">
        <f>VLOOKUP(H452,[1]尺寸簡表!$C$3:$D$1263,2,0)</f>
        <v/>
      </c>
      <c r="J452" t="n">
        <v>870</v>
      </c>
      <c r="K452" t="inlineStr">
        <is>
          <t>◎ wickron® SUPER WICKDRY FIBER：光觸媒粒子分解異味、抗污、抑菌。抗起毛球、UV CUT。</t>
        </is>
      </c>
    </row>
    <row r="453">
      <c r="A453" t="inlineStr"/>
      <c r="B453" t="inlineStr"/>
      <c r="C453" t="inlineStr">
        <is>
          <t>KIDS &amp; BABY</t>
        </is>
      </c>
      <c r="D453">
        <f>U453</f>
        <v/>
      </c>
      <c r="E453" t="n">
        <v>1114906</v>
      </c>
      <c r="F453" t="inlineStr">
        <is>
          <t>WICKRON LONG SLEEVE T KID'S JAPANESE BLACK BEAR</t>
        </is>
      </c>
      <c r="G453" t="inlineStr">
        <is>
          <t>DGY      LBL</t>
        </is>
      </c>
      <c r="H453" t="inlineStr">
        <is>
          <t>LBL</t>
        </is>
      </c>
      <c r="I453">
        <f>VLOOKUP(H453,[1]尺寸簡表!$C$3:$D$1263,2,0)</f>
        <v/>
      </c>
      <c r="J453" t="n">
        <v>870</v>
      </c>
      <c r="K453" t="inlineStr">
        <is>
          <t>◎ wickron® SUPER WICKDRY FIBER：光觸媒粒子分解異味、抗污、抑菌。抗起毛球、UV CUT。</t>
        </is>
      </c>
    </row>
    <row r="454">
      <c r="A454" t="inlineStr"/>
      <c r="B454" t="inlineStr"/>
      <c r="C454" t="inlineStr">
        <is>
          <t>KIDS &amp; BABY</t>
        </is>
      </c>
      <c r="D454">
        <f>U454</f>
        <v/>
      </c>
      <c r="E454" t="n">
        <v>1114907</v>
      </c>
      <c r="F454" t="inlineStr">
        <is>
          <t>WICKRON LONG SLEEVE T KID'S JAPANESE BLACK BEAR</t>
        </is>
      </c>
      <c r="G454" t="inlineStr">
        <is>
          <t>DGY      LBL</t>
        </is>
      </c>
      <c r="H454" t="inlineStr">
        <is>
          <t>DGY</t>
        </is>
      </c>
      <c r="I454">
        <f>VLOOKUP(H454,[1]尺寸簡表!$C$3:$D$1263,2,0)</f>
        <v/>
      </c>
      <c r="J454" t="n">
        <v>870</v>
      </c>
      <c r="K454" t="inlineStr">
        <is>
          <t>◎ wickron® SUPER WICKDRY FIBER：光觸媒粒子分解異味、抗污、抑菌。抗起毛球、UV CUT。</t>
        </is>
      </c>
    </row>
    <row r="455">
      <c r="A455" t="inlineStr"/>
      <c r="B455" t="inlineStr"/>
      <c r="C455" t="inlineStr">
        <is>
          <t>KIDS &amp; BABY</t>
        </is>
      </c>
      <c r="D455">
        <f>U455</f>
        <v/>
      </c>
      <c r="E455" t="n">
        <v>1114908</v>
      </c>
      <c r="F455" t="inlineStr">
        <is>
          <t>WICKRON LONG SLEEVE T KID'S JAPANESE SEROW</t>
        </is>
      </c>
      <c r="G455" t="inlineStr">
        <is>
          <t>LV      NV</t>
        </is>
      </c>
      <c r="H455" t="inlineStr">
        <is>
          <t>LV</t>
        </is>
      </c>
      <c r="I455">
        <f>VLOOKUP(H455,[1]尺寸簡表!$C$3:$D$1263,2,0)</f>
        <v/>
      </c>
      <c r="J455" t="n">
        <v>870</v>
      </c>
      <c r="K455" t="inlineStr">
        <is>
          <t>◎ wickron® SUPER WICKDRY FIBER：光觸媒粒子分解異味、抗污、抑菌。抗起毛球、UV CUT。</t>
        </is>
      </c>
    </row>
    <row r="456">
      <c r="A456" t="inlineStr"/>
      <c r="B456" t="inlineStr"/>
      <c r="C456" t="inlineStr">
        <is>
          <t>KIDS &amp; BABY</t>
        </is>
      </c>
      <c r="D456">
        <f>U456</f>
        <v/>
      </c>
      <c r="E456" t="n">
        <v>1114909</v>
      </c>
      <c r="F456" t="inlineStr">
        <is>
          <t>WICKRON LONG SLEEVE T KID'S JAPANESE SEROW</t>
        </is>
      </c>
      <c r="G456" t="inlineStr">
        <is>
          <t>LV      NV</t>
        </is>
      </c>
      <c r="H456" t="inlineStr">
        <is>
          <t>NV</t>
        </is>
      </c>
      <c r="I456">
        <f>VLOOKUP(H456,[1]尺寸簡表!$C$3:$D$1263,2,0)</f>
        <v/>
      </c>
      <c r="J456" t="n">
        <v>870</v>
      </c>
      <c r="K456" t="inlineStr">
        <is>
          <t>◎ wickron® SUPER WICKDRY FIBER：光觸媒粒子分解異味、抗污、抑菌。抗起毛球、UV CUT。</t>
        </is>
      </c>
    </row>
    <row r="457">
      <c r="A457" t="inlineStr"/>
      <c r="B457" t="inlineStr"/>
      <c r="C457" t="inlineStr">
        <is>
          <t>KIDS &amp; BABY</t>
        </is>
      </c>
      <c r="D457">
        <f>U457</f>
        <v/>
      </c>
      <c r="E457" t="n">
        <v>1114910</v>
      </c>
      <c r="F457" t="inlineStr">
        <is>
          <t>WICKRON LONG SLEEVE T KID'S LAKESHORE</t>
        </is>
      </c>
      <c r="G457" t="inlineStr">
        <is>
          <t>DGY      IV</t>
        </is>
      </c>
      <c r="H457" t="inlineStr">
        <is>
          <t>DGY</t>
        </is>
      </c>
      <c r="I457">
        <f>VLOOKUP(H457,[1]尺寸簡表!$C$3:$D$1263,2,0)</f>
        <v/>
      </c>
      <c r="J457" t="n">
        <v>870</v>
      </c>
      <c r="K457" t="inlineStr">
        <is>
          <t>◎ wickron® SUPER WICKDRY FIBER：光觸媒粒子分解異味、抗污、抑菌。抗起毛球、UV CUT。</t>
        </is>
      </c>
    </row>
    <row r="458">
      <c r="A458" t="inlineStr"/>
      <c r="B458" t="inlineStr"/>
      <c r="C458" t="inlineStr">
        <is>
          <t>KIDS &amp; BABY</t>
        </is>
      </c>
      <c r="D458">
        <f>U458</f>
        <v/>
      </c>
      <c r="E458" t="n">
        <v>1114911</v>
      </c>
      <c r="F458" t="inlineStr">
        <is>
          <t>WICKRON LONG SLEEVE T KID'S LAKESHORE</t>
        </is>
      </c>
      <c r="G458" t="inlineStr">
        <is>
          <t>DGY      IV</t>
        </is>
      </c>
      <c r="H458" t="inlineStr">
        <is>
          <t>IV</t>
        </is>
      </c>
      <c r="I458">
        <f>VLOOKUP(H458,[1]尺寸簡表!$C$3:$D$1263,2,0)</f>
        <v/>
      </c>
      <c r="J458" t="n">
        <v>870</v>
      </c>
      <c r="K458" t="inlineStr">
        <is>
          <t>◎ wickron® SUPER WICKDRY FIBER：光觸媒粒子分解異味、抗污、抑菌。抗起毛球、UV CUT。</t>
        </is>
      </c>
    </row>
    <row r="459">
      <c r="A459" t="inlineStr"/>
      <c r="B459" t="inlineStr"/>
      <c r="C459" t="inlineStr">
        <is>
          <t>KIDS &amp; BABY</t>
        </is>
      </c>
      <c r="D459">
        <f>U459</f>
        <v/>
      </c>
      <c r="E459" t="n">
        <v>1114902</v>
      </c>
      <c r="F459" t="inlineStr">
        <is>
          <t>WICKRON LONG SLEEVE T KID'S MONTA BEAR FACE</t>
        </is>
      </c>
      <c r="G459" t="inlineStr">
        <is>
          <t>BK</t>
        </is>
      </c>
      <c r="H459" t="inlineStr">
        <is>
          <t>BK</t>
        </is>
      </c>
      <c r="I459">
        <f>VLOOKUP(H459,[1]尺寸簡表!$C$3:$D$1263,2,0)</f>
        <v/>
      </c>
      <c r="J459" t="n">
        <v>870</v>
      </c>
      <c r="K459" t="inlineStr">
        <is>
          <t>◎ wickron® SUPER WICKDRY FIBER：光觸媒粒子分解異味、抗污、抑菌。抗起毛球、UV CUT。</t>
        </is>
      </c>
    </row>
    <row r="460">
      <c r="A460" t="inlineStr"/>
      <c r="B460" t="inlineStr"/>
      <c r="C460" t="inlineStr">
        <is>
          <t>KIDS &amp; BABY</t>
        </is>
      </c>
      <c r="D460">
        <f>U460</f>
        <v/>
      </c>
      <c r="E460" t="n">
        <v>1114903</v>
      </c>
      <c r="F460" t="inlineStr">
        <is>
          <t>WICKRON LONG SLEEVE T KID'S MONTA BEAR FACE</t>
        </is>
      </c>
      <c r="G460" t="inlineStr">
        <is>
          <t>BK</t>
        </is>
      </c>
      <c r="H460" t="inlineStr">
        <is>
          <t>BK</t>
        </is>
      </c>
      <c r="I460">
        <f>VLOOKUP(H460,[1]尺寸簡表!$C$3:$D$1263,2,0)</f>
        <v/>
      </c>
      <c r="J460" t="n">
        <v>870</v>
      </c>
      <c r="K460" t="inlineStr">
        <is>
          <t>◎ wickron® SUPER WICKDRY FIBER：光觸媒粒子分解異味、抗污、抑菌。抗起毛球、UV CUT。</t>
        </is>
      </c>
    </row>
    <row r="461">
      <c r="A461" t="inlineStr"/>
      <c r="B461" t="inlineStr"/>
      <c r="C461" t="inlineStr">
        <is>
          <t>KIDS &amp; BABY</t>
        </is>
      </c>
      <c r="D461">
        <f>U461</f>
        <v/>
      </c>
      <c r="E461" t="n">
        <v>1114914</v>
      </c>
      <c r="F461" t="inlineStr">
        <is>
          <t>WICKRON RAGLAN LONG SLEEVE T KID'S MOUNTAIN &amp; TENT</t>
        </is>
      </c>
      <c r="G461" t="inlineStr">
        <is>
          <t>OG</t>
        </is>
      </c>
      <c r="H461" t="inlineStr">
        <is>
          <t>OG</t>
        </is>
      </c>
      <c r="I461">
        <f>VLOOKUP(H461,[1]尺寸簡表!$C$3:$D$1263,2,0)</f>
        <v/>
      </c>
      <c r="J461" t="n">
        <v>870</v>
      </c>
      <c r="K461" t="inlineStr">
        <is>
          <t>◎ wickron® SUPER WICKDRY FIBER：光觸媒粒子分解異味、抗污、抑菌。抗起毛球、UV CUT。</t>
        </is>
      </c>
    </row>
    <row r="462">
      <c r="A462" t="inlineStr"/>
      <c r="B462" t="inlineStr"/>
      <c r="C462" t="inlineStr">
        <is>
          <t>KIDS &amp; BABY</t>
        </is>
      </c>
      <c r="D462">
        <f>U462</f>
        <v/>
      </c>
      <c r="E462" t="n">
        <v>1114915</v>
      </c>
      <c r="F462" t="inlineStr">
        <is>
          <t>WICKRON RAGLAN LONG SLEEVE T KID'S MOUNTAIN &amp; TENT</t>
        </is>
      </c>
      <c r="G462" t="inlineStr">
        <is>
          <t>OG</t>
        </is>
      </c>
      <c r="H462" t="inlineStr">
        <is>
          <t>OG</t>
        </is>
      </c>
      <c r="I462">
        <f>VLOOKUP(H462,[1]尺寸簡表!$C$3:$D$1263,2,0)</f>
        <v/>
      </c>
      <c r="J462" t="n">
        <v>870</v>
      </c>
      <c r="K462" t="inlineStr">
        <is>
          <t>◎ wickron® SUPER WICKDRY FIBER：光觸媒粒子分解異味、抗污、抑菌。抗起毛球、UV CUT。</t>
        </is>
      </c>
    </row>
    <row r="463">
      <c r="A463" t="inlineStr"/>
      <c r="B463" t="inlineStr"/>
      <c r="C463" t="inlineStr">
        <is>
          <t>KIDS &amp; BABY</t>
        </is>
      </c>
      <c r="D463">
        <f>U463</f>
        <v/>
      </c>
      <c r="E463" t="n">
        <v>1114912</v>
      </c>
      <c r="F463" t="inlineStr">
        <is>
          <t>WICKRON RAGLAN LONG SLEEVE T KID'S SINCE 1975</t>
        </is>
      </c>
      <c r="G463" t="inlineStr">
        <is>
          <t>BGN</t>
        </is>
      </c>
      <c r="H463" t="inlineStr">
        <is>
          <t>BGN</t>
        </is>
      </c>
      <c r="I463">
        <f>VLOOKUP(H463,[1]尺寸簡表!$C$3:$D$1263,2,0)</f>
        <v/>
      </c>
      <c r="J463" t="n">
        <v>870</v>
      </c>
      <c r="K463" t="inlineStr">
        <is>
          <t>◎ wickron® SUPER WICKDRY FIBER：光觸媒粒子分解異味、抗污、抑菌。抗起毛球、UV CUT。</t>
        </is>
      </c>
    </row>
    <row r="464">
      <c r="A464" t="inlineStr"/>
      <c r="B464" t="inlineStr"/>
      <c r="C464" t="inlineStr">
        <is>
          <t>KIDS &amp; BABY</t>
        </is>
      </c>
      <c r="D464">
        <f>U464</f>
        <v/>
      </c>
      <c r="E464" t="n">
        <v>1114913</v>
      </c>
      <c r="F464" t="inlineStr">
        <is>
          <t>WICKRON RAGLAN LONG SLEEVE T KID'S SINCE 1975</t>
        </is>
      </c>
      <c r="G464" t="inlineStr">
        <is>
          <t>BGN</t>
        </is>
      </c>
      <c r="H464" t="inlineStr">
        <is>
          <t>BGN</t>
        </is>
      </c>
      <c r="I464">
        <f>VLOOKUP(H464,[1]尺寸簡表!$C$3:$D$1263,2,0)</f>
        <v/>
      </c>
      <c r="J464" t="n">
        <v>870</v>
      </c>
      <c r="K464" t="inlineStr">
        <is>
          <t>◎ wickron® SUPER WICKDRY FIBER：光觸媒粒子分解異味、抗污、抑菌。抗起毛球、UV CUT。</t>
        </is>
      </c>
    </row>
    <row r="465">
      <c r="A465" t="inlineStr"/>
      <c r="B465" t="inlineStr"/>
      <c r="C465" t="inlineStr">
        <is>
          <t>KIDS &amp; BABY</t>
        </is>
      </c>
      <c r="D465">
        <f>U465</f>
        <v/>
      </c>
      <c r="E465" t="n">
        <v>1104812</v>
      </c>
      <c r="F465" t="inlineStr">
        <is>
          <t>WICKRON STRIPED LONG SLEEVE T KID'S</t>
        </is>
      </c>
      <c r="G465" t="inlineStr">
        <is>
          <t>BR/WT      IV/DN      WT/RD</t>
        </is>
      </c>
      <c r="H465" t="inlineStr">
        <is>
          <t>WT/RD</t>
        </is>
      </c>
      <c r="I465">
        <f>VLOOKUP(H465,[1]尺寸簡表!$C$3:$D$1263,2,0)</f>
        <v/>
      </c>
      <c r="J465" t="n">
        <v>970</v>
      </c>
      <c r="K465" t="inlineStr">
        <is>
          <t>◎ wickron® SUPER WICKDRY FIBER：光觸媒粒子分解異味、抗污、抑菌。抗起毛球、UV CUT。</t>
        </is>
      </c>
    </row>
    <row r="466">
      <c r="A466" t="inlineStr"/>
      <c r="B466" t="inlineStr"/>
      <c r="C466" t="inlineStr">
        <is>
          <t>KIDS &amp; BABY</t>
        </is>
      </c>
      <c r="D466">
        <f>U466</f>
        <v/>
      </c>
      <c r="E466" t="n">
        <v>1104813</v>
      </c>
      <c r="F466" t="inlineStr">
        <is>
          <t>WICKRON STRIPED LONG SLEEVE T KID'S</t>
        </is>
      </c>
      <c r="G466" t="inlineStr">
        <is>
          <t>BR/WT      IV/DN      WT/RD</t>
        </is>
      </c>
      <c r="I466">
        <f>VLOOKUP(H466,[1]尺寸簡表!$C$3:$D$1263,2,0)</f>
        <v/>
      </c>
      <c r="J466" t="n">
        <v>970</v>
      </c>
      <c r="K466" t="inlineStr">
        <is>
          <t>◎ wickron® SUPER WICKDRY FIBER：光觸媒粒子分解異味、抗污、抑菌。抗起毛球、UV CUT。</t>
        </is>
      </c>
    </row>
    <row r="467">
      <c r="A467" t="inlineStr">
        <is>
          <t>26FW</t>
        </is>
      </c>
      <c r="B467" t="inlineStr">
        <is>
          <t>26FW</t>
        </is>
      </c>
      <c r="C467" t="inlineStr">
        <is>
          <t>KIDS &amp; BABY</t>
        </is>
      </c>
      <c r="D467">
        <f>U467</f>
        <v/>
      </c>
      <c r="E467" t="n">
        <v>1119224</v>
      </c>
      <c r="F467" t="inlineStr">
        <is>
          <t>WICKRON TRAVEL SOCKS MONTA BEAR KID'S</t>
        </is>
      </c>
      <c r="G467" t="inlineStr">
        <is>
          <t>BK</t>
        </is>
      </c>
      <c r="H467" t="inlineStr">
        <is>
          <t>BK</t>
        </is>
      </c>
      <c r="I467">
        <f>VLOOKUP(H467,[1]尺寸簡表!$C$3:$D$1263,2,0)</f>
        <v/>
      </c>
      <c r="J467" t="n">
        <v>250</v>
      </c>
      <c r="K467" t="inlineStr">
        <is>
          <t>◎ 輕量兒童襪，採用 wickron® 材質，吸濕快乾、抗菌防臭，不含PFAS。錐形設計、L型剪裁、全面包覆貼合系統及底部加強構造。</t>
        </is>
      </c>
    </row>
    <row r="468">
      <c r="A468" t="inlineStr">
        <is>
          <t>27SS</t>
        </is>
      </c>
      <c r="B468" t="inlineStr">
        <is>
          <t>27SS</t>
        </is>
      </c>
      <c r="C468" t="inlineStr">
        <is>
          <t>KIDS &amp; BABY</t>
        </is>
      </c>
      <c r="D468">
        <f>U468</f>
        <v/>
      </c>
      <c r="E468" t="n">
        <v>1119221</v>
      </c>
      <c r="F468" t="inlineStr">
        <is>
          <t>WICKRON TREKKING SOCKS KID'S</t>
        </is>
      </c>
      <c r="G468" t="inlineStr">
        <is>
          <t>LGY      NV      RD</t>
        </is>
      </c>
      <c r="I468">
        <f>VLOOKUP(H468,[1]尺寸簡表!$C$3:$D$1263,2,0)</f>
        <v/>
      </c>
      <c r="J468" t="n">
        <v>480</v>
      </c>
      <c r="K468" t="inlineStr">
        <is>
          <t xml:space="preserve">◎ 材質：wickron®（41%壓克力＋29%尼龍＋23%聚酯纖維＋5%羊毛＋2%聚氨酯）。
◎ 高吸水性與緩衝毛圈設計的標準長度款，適合健行時穿著。錐形設計、L型剪裁、全面包覆貼合系統，受力點採用加強紗線編織。 </t>
        </is>
      </c>
    </row>
    <row r="469">
      <c r="A469" t="inlineStr"/>
      <c r="B469" t="inlineStr"/>
      <c r="C469" t="inlineStr">
        <is>
          <t>KIDS &amp; BABY</t>
        </is>
      </c>
      <c r="D469">
        <f>U469</f>
        <v/>
      </c>
      <c r="E469" t="n">
        <v>1118632</v>
      </c>
      <c r="F469" t="inlineStr">
        <is>
          <t>WOOL KNIT GLOVES KID'S</t>
        </is>
      </c>
      <c r="G469" t="inlineStr">
        <is>
          <t>NV      TOMT</t>
        </is>
      </c>
      <c r="H469" t="inlineStr">
        <is>
          <t>NV      TOMT</t>
        </is>
      </c>
      <c r="I469">
        <f>VLOOKUP(H469,[1]尺寸簡表!$C$3:$D$1263,2,0)</f>
        <v/>
      </c>
      <c r="J469" t="n">
        <v>830</v>
      </c>
      <c r="K469" t="inlineStr">
        <is>
          <t>◎ 材質:羊毛78%+聚酯纖維20%+聚氨酯2%。
◎ 羊毛編織手套，優異保暖性，貼合手部曲線設計，舒適穿戴。</t>
        </is>
      </c>
    </row>
    <row r="470">
      <c r="A470" t="inlineStr"/>
      <c r="B470" t="inlineStr"/>
      <c r="C470" t="inlineStr">
        <is>
          <t>KIDS &amp; BABY</t>
        </is>
      </c>
      <c r="D470">
        <f>U470</f>
        <v/>
      </c>
      <c r="E470" t="n">
        <v>1107727</v>
      </c>
      <c r="F470" t="inlineStr">
        <is>
          <t>ZEO-LINE EXPEDITION ROUND NECK SHIRT KID'S</t>
        </is>
      </c>
      <c r="G470" t="inlineStr">
        <is>
          <t>BK      NV</t>
        </is>
      </c>
      <c r="I470">
        <f>VLOOKUP(H470,[1]尺寸簡表!$C$3:$D$1263,2,0)</f>
        <v/>
      </c>
      <c r="J470" t="n">
        <v>1260</v>
      </c>
      <c r="K470" t="inlineStr">
        <is>
          <t>◎ ZEO-LINE®內衣系列擁有比一般市售商品優異的速乾性，且具有保溫及抗菌的機能。（厚手）
◎ 袖口專利螺紋立體剪裁，服貼腕部，增加活動的舒適性。</t>
        </is>
      </c>
    </row>
    <row r="471">
      <c r="A471" t="inlineStr"/>
      <c r="B471" t="inlineStr"/>
      <c r="C471" t="inlineStr">
        <is>
          <t>KIDS &amp; BABY</t>
        </is>
      </c>
      <c r="D471">
        <f>U471</f>
        <v/>
      </c>
      <c r="E471" t="n">
        <v>1107728</v>
      </c>
      <c r="F471" t="inlineStr">
        <is>
          <t>ZEO-LINE EXPEDITION ROUND NECK SHIRT KID'S</t>
        </is>
      </c>
      <c r="G471" t="inlineStr">
        <is>
          <t>BK      NV</t>
        </is>
      </c>
      <c r="I471">
        <f>VLOOKUP(H471,[1]尺寸簡表!$C$3:$D$1263,2,0)</f>
        <v/>
      </c>
      <c r="J471" t="n">
        <v>1190</v>
      </c>
      <c r="K471" t="inlineStr">
        <is>
          <t>◎ ZEO-LINE®內衣系列擁有比一般市售商品優異的速乾性，且具有保溫及抗菌的機能。（厚手）
◎ 袖口專利螺紋立體剪裁，服貼腕部，增加活動的舒適性。</t>
        </is>
      </c>
    </row>
    <row r="472">
      <c r="A472" t="inlineStr"/>
      <c r="B472" t="inlineStr"/>
      <c r="C472" t="inlineStr">
        <is>
          <t>KIDS &amp; BABY</t>
        </is>
      </c>
      <c r="D472">
        <f>U472</f>
        <v/>
      </c>
      <c r="E472" t="n">
        <v>1107720</v>
      </c>
      <c r="F472" t="inlineStr">
        <is>
          <t>ZEO-LINE MIDDLE WEIGHT ROUND NECK SHIRT KID'S</t>
        </is>
      </c>
      <c r="G472" t="inlineStr">
        <is>
          <t>BK      NV</t>
        </is>
      </c>
      <c r="H472" t="inlineStr">
        <is>
          <t>BK</t>
        </is>
      </c>
      <c r="I472">
        <f>VLOOKUP(H472,[1]尺寸簡表!$C$3:$D$1263,2,0)</f>
        <v/>
      </c>
      <c r="J472" t="n">
        <v>1140</v>
      </c>
      <c r="K472" t="inlineStr">
        <is>
          <t>◎ ZEO-LINE®內衣系列擁有比一般市售商品優異的速乾性，且具有保溫及抗菌的機能。（中厚手）
◎ 袖口專利螺紋立體剪裁，服貼腕部，增加活動的舒適性。</t>
        </is>
      </c>
    </row>
    <row r="473">
      <c r="A473" t="inlineStr"/>
      <c r="B473" t="inlineStr"/>
      <c r="C473" t="inlineStr">
        <is>
          <t>KIDS &amp; BABY</t>
        </is>
      </c>
      <c r="D473">
        <f>U473</f>
        <v/>
      </c>
      <c r="E473" t="n">
        <v>1107721</v>
      </c>
      <c r="F473" t="inlineStr">
        <is>
          <t>ZEO-LINE MIDDLE WEIGHT ROUND NECK SHIRT KID'S</t>
        </is>
      </c>
      <c r="G473" t="inlineStr">
        <is>
          <t>BK      NV</t>
        </is>
      </c>
      <c r="I473">
        <f>VLOOKUP(H473,[1]尺寸簡表!$C$3:$D$1263,2,0)</f>
        <v/>
      </c>
      <c r="J473" t="n">
        <v>1000</v>
      </c>
      <c r="K473" t="inlineStr">
        <is>
          <t>◎ ZEO-LINE®內衣系列擁有比一般市售商品優異的速乾性，且具有保溫及抗菌的機能。（中厚手）
◎ 袖口專利螺紋立體剪裁，服貼腕部，增加活動的舒適性。</t>
        </is>
      </c>
    </row>
    <row r="474">
      <c r="A474" t="inlineStr"/>
      <c r="B474" t="inlineStr"/>
      <c r="C474" t="inlineStr">
        <is>
          <t>KNIT SHIRTS</t>
        </is>
      </c>
      <c r="D474">
        <f>U474</f>
        <v/>
      </c>
      <c r="E474" t="n">
        <v>2104849</v>
      </c>
      <c r="F474" t="inlineStr">
        <is>
          <t>COTTON FULL-ZIP HOODED SWEATSHIRT MEN'S</t>
        </is>
      </c>
      <c r="G474" t="inlineStr">
        <is>
          <t>LGY      MST      NV      PU</t>
        </is>
      </c>
      <c r="H474" t="inlineStr">
        <is>
          <t>NV      LGY</t>
        </is>
      </c>
      <c r="I474">
        <f>VLOOKUP(H474,[1]尺寸簡表!$C$3:$D$1263,2,0)</f>
        <v/>
      </c>
      <c r="J474" t="n">
        <v>3020</v>
      </c>
      <c r="K474" t="inlineStr">
        <is>
          <t>◎ 身體：棉69%+聚酯纖維31%。
◎ 胸前：棉96%+聚氨酯4%。</t>
        </is>
      </c>
    </row>
    <row r="475">
      <c r="A475" t="inlineStr"/>
      <c r="B475" t="inlineStr"/>
      <c r="C475" t="inlineStr">
        <is>
          <t>KNIT SHIRTS</t>
        </is>
      </c>
      <c r="D475">
        <f>U475</f>
        <v/>
      </c>
      <c r="E475" t="n">
        <v>2104850</v>
      </c>
      <c r="F475" t="inlineStr">
        <is>
          <t>COTTON FULL-ZIP HOODED SWEATSHIRT WOMEN'S</t>
        </is>
      </c>
      <c r="G475" t="inlineStr">
        <is>
          <t>BK      IV      LBL</t>
        </is>
      </c>
      <c r="H475" t="inlineStr">
        <is>
          <t>IV</t>
        </is>
      </c>
      <c r="I475">
        <f>VLOOKUP(H475,[1]尺寸簡表!$C$3:$D$1263,2,0)</f>
        <v/>
      </c>
      <c r="J475" t="n">
        <v>2880</v>
      </c>
      <c r="K475" t="inlineStr">
        <is>
          <t>◎ 身體：棉69%+聚酯纖維31%。
◎ 胸前：棉96%+聚氨酯4%。</t>
        </is>
      </c>
    </row>
    <row r="476">
      <c r="A476" t="inlineStr"/>
      <c r="B476" t="inlineStr"/>
      <c r="C476" t="inlineStr">
        <is>
          <t>KNIT SHIRTS</t>
        </is>
      </c>
      <c r="D476">
        <f>U476</f>
        <v/>
      </c>
      <c r="E476" t="n">
        <v>2104848</v>
      </c>
      <c r="F476" t="inlineStr">
        <is>
          <t>COTTON HOODED SWEATSHIRT</t>
        </is>
      </c>
      <c r="G476" t="inlineStr">
        <is>
          <t>DGY      IV      LGY      PU</t>
        </is>
      </c>
      <c r="H476" t="inlineStr">
        <is>
          <t>IV      DGY</t>
        </is>
      </c>
      <c r="I476">
        <f>VLOOKUP(H476,[1]尺寸簡表!$C$3:$D$1263,2,0)</f>
        <v/>
      </c>
      <c r="J476" t="n">
        <v>2770</v>
      </c>
      <c r="K476" t="inlineStr">
        <is>
          <t>◎ 身體：棉69%+聚酯纖維31%。
◎ 胸前：棉96%+聚氨酯4%。</t>
        </is>
      </c>
    </row>
    <row r="477">
      <c r="A477" t="inlineStr">
        <is>
          <t>26FW</t>
        </is>
      </c>
      <c r="B477" t="inlineStr">
        <is>
          <t>26FW</t>
        </is>
      </c>
      <c r="C477" t="inlineStr">
        <is>
          <t>KNIT SHIRTS</t>
        </is>
      </c>
      <c r="D477">
        <f>U477</f>
        <v/>
      </c>
      <c r="E477" t="n">
        <v>2104904</v>
      </c>
      <c r="F477" t="inlineStr">
        <is>
          <t>COTTON LITE PRINT SWEATSHIRT #1</t>
        </is>
      </c>
      <c r="G477" t="inlineStr">
        <is>
          <t>KH      PK</t>
        </is>
      </c>
      <c r="H477" t="inlineStr">
        <is>
          <t>PK</t>
        </is>
      </c>
      <c r="I477">
        <f>VLOOKUP(H477,[1]尺寸簡表!$C$3:$D$1263,2,0)</f>
        <v/>
      </c>
      <c r="J477" t="n">
        <v>1500</v>
      </c>
      <c r="K477" t="inlineStr">
        <is>
          <t>◎ 60%棉＋40%聚酯纖維，不含PFAS。
◎ 棉與聚酯纖維混紡製成，棉質提供柔軟舒適的觸感，聚酯纖維則提供快乾特性，洗滌後比100%純棉更快乾，Spiral Slant-Tec 袖口設計。</t>
        </is>
      </c>
    </row>
    <row r="478">
      <c r="A478" t="inlineStr">
        <is>
          <t>26FW</t>
        </is>
      </c>
      <c r="B478" t="inlineStr">
        <is>
          <t>26FW</t>
        </is>
      </c>
      <c r="C478" t="inlineStr">
        <is>
          <t>KNIT SHIRTS</t>
        </is>
      </c>
      <c r="D478">
        <f>U478</f>
        <v/>
      </c>
      <c r="E478" t="n">
        <v>2104905</v>
      </c>
      <c r="F478" t="inlineStr">
        <is>
          <t>COTTON LITE PRINT SWEATSHIRT #2</t>
        </is>
      </c>
      <c r="G478" t="inlineStr">
        <is>
          <t>BK      IV</t>
        </is>
      </c>
      <c r="H478" t="inlineStr">
        <is>
          <t>IV</t>
        </is>
      </c>
      <c r="I478">
        <f>VLOOKUP(H478,[1]尺寸簡表!$C$3:$D$1263,2,0)</f>
        <v/>
      </c>
      <c r="J478" t="n">
        <v>1500</v>
      </c>
      <c r="K478" t="inlineStr">
        <is>
          <t>◎ 60%棉＋40%聚酯纖維，不含PFAS。
◎ 棉與聚酯纖維混紡製成，棉質提供柔軟舒適的觸感，聚酯纖維則提供快乾特性，洗滌後比100%純棉更快乾，Spiral Slant-Tec 袖口設計。</t>
        </is>
      </c>
    </row>
    <row r="479">
      <c r="A479" t="inlineStr">
        <is>
          <t>26FW</t>
        </is>
      </c>
      <c r="B479" t="inlineStr">
        <is>
          <t>26FW</t>
        </is>
      </c>
      <c r="C479" t="inlineStr">
        <is>
          <t>KNIT SHIRTS</t>
        </is>
      </c>
      <c r="D479">
        <f>U479</f>
        <v/>
      </c>
      <c r="E479" t="n">
        <v>2104906</v>
      </c>
      <c r="F479" t="inlineStr">
        <is>
          <t>COTTON LITE PRINT SWEATSHIRT #3</t>
        </is>
      </c>
      <c r="G479" t="inlineStr">
        <is>
          <t>NV      WRD</t>
        </is>
      </c>
      <c r="H479" t="inlineStr">
        <is>
          <t>NV</t>
        </is>
      </c>
      <c r="I479">
        <f>VLOOKUP(H479,[1]尺寸簡表!$C$3:$D$1263,2,0)</f>
        <v/>
      </c>
      <c r="J479" t="n">
        <v>1500</v>
      </c>
      <c r="K479" t="inlineStr">
        <is>
          <t>◎ 60%棉＋40%聚酯纖維，不含PFAS。
◎ 棉與聚酯纖維混紡製成，棉質提供柔軟舒適的觸感，聚酯纖維則提供快乾特性，洗滌後比100%純棉更快乾，Spiral Slant-Tec 袖口設計。</t>
        </is>
      </c>
    </row>
    <row r="480">
      <c r="A480" t="inlineStr">
        <is>
          <t>26FW</t>
        </is>
      </c>
      <c r="B480" t="inlineStr">
        <is>
          <t>26FW</t>
        </is>
      </c>
      <c r="C480" t="inlineStr">
        <is>
          <t>KNIT SHIRTS</t>
        </is>
      </c>
      <c r="D480">
        <f>U480</f>
        <v/>
      </c>
      <c r="E480" t="n">
        <v>2104902</v>
      </c>
      <c r="F480" t="inlineStr">
        <is>
          <t>COTTON LITE SWEAT HOODIE</t>
        </is>
      </c>
      <c r="G480" t="inlineStr">
        <is>
          <t>BL      LGY      NV      WRD</t>
        </is>
      </c>
      <c r="H480" t="inlineStr">
        <is>
          <t>NV      WRD</t>
        </is>
      </c>
      <c r="I480">
        <f>VLOOKUP(H480,[1]尺寸簡表!$C$3:$D$1263,2,0)</f>
        <v/>
      </c>
      <c r="J480" t="n">
        <v>1560</v>
      </c>
      <c r="K480" t="inlineStr">
        <is>
          <t>◎ 60%棉＋40%聚酯纖維，不含PFAS。
◎ 棉與聚酯纖維混紡製成，棉質提供柔軟舒適的觸感，聚酯纖維則提供快乾特性，洗滌後比100%純棉更快乾，Spiral Slant-Tec 袖口設計。</t>
        </is>
      </c>
    </row>
    <row r="481">
      <c r="A481" t="inlineStr">
        <is>
          <t>26FW</t>
        </is>
      </c>
      <c r="B481" t="inlineStr">
        <is>
          <t>26FW</t>
        </is>
      </c>
      <c r="C481" t="inlineStr">
        <is>
          <t>KNIT SHIRTS</t>
        </is>
      </c>
      <c r="D481">
        <f>U481</f>
        <v/>
      </c>
      <c r="E481" t="n">
        <v>2104900</v>
      </c>
      <c r="F481" t="inlineStr">
        <is>
          <t>COTTON LITE SWEAT ZIP HOODIE MEN'S</t>
        </is>
      </c>
      <c r="G481" t="inlineStr">
        <is>
          <t>BK      KH      LGY</t>
        </is>
      </c>
      <c r="H481" t="inlineStr">
        <is>
          <t>LGY</t>
        </is>
      </c>
      <c r="I481">
        <f>VLOOKUP(H481,[1]尺寸簡表!$C$3:$D$1263,2,0)</f>
        <v/>
      </c>
      <c r="J481" t="n">
        <v>2070</v>
      </c>
      <c r="K481" t="inlineStr">
        <is>
          <t>◎ 60%棉＋40%聚酯纖維，不含PFAS。
◎ 棉與聚酯纖維混紡製成，棉質提供柔軟舒適的觸感，聚酯纖維則提供快乾特性，洗滌後比100%純棉更快乾，Spiral Slant-Tec 袖口設計。</t>
        </is>
      </c>
    </row>
    <row r="482">
      <c r="A482" t="inlineStr">
        <is>
          <t>26FW</t>
        </is>
      </c>
      <c r="B482" t="inlineStr">
        <is>
          <t>26FW</t>
        </is>
      </c>
      <c r="C482" t="inlineStr">
        <is>
          <t>KNIT SHIRTS</t>
        </is>
      </c>
      <c r="D482">
        <f>U482</f>
        <v/>
      </c>
      <c r="E482" t="n">
        <v>2104901</v>
      </c>
      <c r="F482" t="inlineStr">
        <is>
          <t>COTTON LITE SWEAT ZIP HOODIE WOMEN'S</t>
        </is>
      </c>
      <c r="G482" t="inlineStr">
        <is>
          <t>IV      LGY      NV</t>
        </is>
      </c>
      <c r="H482" t="inlineStr">
        <is>
          <t>IV</t>
        </is>
      </c>
      <c r="I482">
        <f>VLOOKUP(H482,[1]尺寸簡表!$C$3:$D$1263,2,0)</f>
        <v/>
      </c>
      <c r="J482" t="n">
        <v>1970</v>
      </c>
      <c r="K482" t="inlineStr">
        <is>
          <t>◎ 60%棉＋40%聚酯纖維，不含PFAS。
◎ 棉與聚酯纖維混紡製成，棉質提供柔軟舒適的觸感，聚酯纖維則提供快乾特性，洗滌後比100%純棉更快乾，Spiral Slant-Tec 袖口設計。</t>
        </is>
      </c>
    </row>
    <row r="483">
      <c r="A483" t="inlineStr"/>
      <c r="B483" t="inlineStr"/>
      <c r="C483" t="inlineStr">
        <is>
          <t>KNIT SHIRTS</t>
        </is>
      </c>
      <c r="D483">
        <f>U483</f>
        <v/>
      </c>
      <c r="E483" t="n">
        <v>2104855</v>
      </c>
      <c r="F483" t="inlineStr">
        <is>
          <t>COTTON SWEATSHIRT #4</t>
        </is>
      </c>
      <c r="G483" t="inlineStr">
        <is>
          <t>BK      MST</t>
        </is>
      </c>
      <c r="I483">
        <f>VLOOKUP(H483,[1]尺寸簡表!$C$3:$D$1263,2,0)</f>
        <v/>
      </c>
      <c r="J483" t="n">
        <v>2520</v>
      </c>
      <c r="K483" t="inlineStr">
        <is>
          <t>◎ 身體：棉69%+聚酯纖維31%、胸前：棉96%+聚氨酯4%、UV CUT。</t>
        </is>
      </c>
    </row>
    <row r="484">
      <c r="A484" t="inlineStr"/>
      <c r="B484" t="inlineStr"/>
      <c r="C484" t="inlineStr">
        <is>
          <t>KNIT SHIRTS</t>
        </is>
      </c>
      <c r="D484">
        <f>U484</f>
        <v/>
      </c>
      <c r="E484" t="n">
        <v>2104852</v>
      </c>
      <c r="F484" t="inlineStr">
        <is>
          <t>COTTON SWEATSHIRT #5</t>
        </is>
      </c>
      <c r="G484" t="inlineStr">
        <is>
          <t>BRC      DGY</t>
        </is>
      </c>
      <c r="H484" t="inlineStr">
        <is>
          <t>DGY</t>
        </is>
      </c>
      <c r="I484">
        <f>VLOOKUP(H484,[1]尺寸簡表!$C$3:$D$1263,2,0)</f>
        <v/>
      </c>
      <c r="J484" t="n">
        <v>2520</v>
      </c>
      <c r="K484" t="inlineStr">
        <is>
          <t>◎ 身體：棉69%+聚酯纖維31%。
◎ 胸前：棉96%+聚氨酯4%。</t>
        </is>
      </c>
    </row>
    <row r="485">
      <c r="A485" t="inlineStr"/>
      <c r="B485" t="inlineStr"/>
      <c r="C485" t="inlineStr">
        <is>
          <t>KNIT SHIRTS</t>
        </is>
      </c>
      <c r="D485">
        <f>U485</f>
        <v/>
      </c>
      <c r="E485" t="n">
        <v>2104854</v>
      </c>
      <c r="F485" t="inlineStr">
        <is>
          <t>COTTON SWEATSHIRT #7</t>
        </is>
      </c>
      <c r="G485" t="inlineStr">
        <is>
          <t>LGY      PU</t>
        </is>
      </c>
      <c r="I485">
        <f>VLOOKUP(H485,[1]尺寸簡表!$C$3:$D$1263,2,0)</f>
        <v/>
      </c>
      <c r="J485" t="n">
        <v>2520</v>
      </c>
      <c r="K485" t="inlineStr">
        <is>
          <t>◎ 身體：棉69%+聚酯纖維31%、胸前：棉96%+聚氨酯4%、UV CUT。</t>
        </is>
      </c>
    </row>
    <row r="486">
      <c r="A486" t="inlineStr">
        <is>
          <t>26FW</t>
        </is>
      </c>
      <c r="B486" t="inlineStr">
        <is>
          <t>26FW</t>
        </is>
      </c>
      <c r="C486" t="inlineStr">
        <is>
          <t>KNIT SHIRTS</t>
        </is>
      </c>
      <c r="D486">
        <f>U486</f>
        <v/>
      </c>
      <c r="E486" t="n">
        <v>2104903</v>
      </c>
      <c r="F486" t="inlineStr">
        <is>
          <t>COTTON SWEATSHIRT #8</t>
        </is>
      </c>
      <c r="G486" t="inlineStr">
        <is>
          <t>DGN      IV</t>
        </is>
      </c>
      <c r="H486" t="inlineStr">
        <is>
          <t>DGN</t>
        </is>
      </c>
      <c r="I486">
        <f>VLOOKUP(H486,[1]尺寸簡表!$C$3:$D$1263,2,0)</f>
        <v/>
      </c>
      <c r="J486" t="n">
        <v>2200</v>
      </c>
      <c r="K486" t="inlineStr">
        <is>
          <t>◎ 棉與聚酯纖維混紡製成，棉質提供柔軟舒適的觸感，聚酯纖維則提供快乾特性，洗滌後比100%純棉更快乾，Spiral Slant-Tec 袖口設計。
◎ 主體：69%棉＋31%聚酯纖維，羅紋：95%棉＋5%聚氨酯。不含PFAS。</t>
        </is>
      </c>
    </row>
    <row r="487">
      <c r="A487" t="inlineStr"/>
      <c r="B487" t="inlineStr"/>
      <c r="C487" t="inlineStr">
        <is>
          <t>KNIT SHIRTS</t>
        </is>
      </c>
      <c r="D487">
        <f>U487</f>
        <v/>
      </c>
      <c r="E487" t="n">
        <v>1114439</v>
      </c>
      <c r="F487" t="inlineStr">
        <is>
          <t>MERINO WOOL PLUS ACTION ZIP NECK MEN'S</t>
        </is>
      </c>
      <c r="G487" t="inlineStr">
        <is>
          <t>BK      BKOV      IND      OGRD</t>
        </is>
      </c>
      <c r="H487" t="inlineStr">
        <is>
          <t>OGRD</t>
        </is>
      </c>
      <c r="I487">
        <f>VLOOKUP(H487,[1]尺寸簡表!$C$3:$D$1263,2,0)</f>
        <v/>
      </c>
      <c r="J487" t="n">
        <v>3960</v>
      </c>
      <c r="K487" t="inlineStr">
        <is>
          <t>◎ 材質：中厚手，美麗諾羊毛83%、聚酯纖維17%、排汗抗臭、防縮加工可水洗、UV CUT素材可遮蔽90%紫外線。</t>
        </is>
      </c>
    </row>
    <row r="488">
      <c r="A488" t="inlineStr"/>
      <c r="B488" t="inlineStr"/>
      <c r="C488" t="inlineStr">
        <is>
          <t>KNIT SHIRTS</t>
        </is>
      </c>
      <c r="D488">
        <f>U488</f>
        <v/>
      </c>
      <c r="E488" t="n">
        <v>1114440</v>
      </c>
      <c r="F488" t="inlineStr">
        <is>
          <t>MERINO WOOL PLUS ACTION ZIP NECK WOMEN'S</t>
        </is>
      </c>
      <c r="G488" t="inlineStr">
        <is>
          <t>HCH      LBL      NV</t>
        </is>
      </c>
      <c r="H488" t="inlineStr">
        <is>
          <t>HCH</t>
        </is>
      </c>
      <c r="I488">
        <f>VLOOKUP(H488,[1]尺寸簡表!$C$3:$D$1263,2,0)</f>
        <v/>
      </c>
      <c r="J488" t="n">
        <v>3820</v>
      </c>
      <c r="K488" t="inlineStr">
        <is>
          <t>◎ 材質：中厚手，美麗諾羊毛83%、聚酯纖維17%、排汗抗臭、防縮加工可水洗、UV CUT素材可遮蔽90%紫外線。</t>
        </is>
      </c>
    </row>
    <row r="489">
      <c r="A489" t="inlineStr"/>
      <c r="B489" t="inlineStr"/>
      <c r="C489" t="inlineStr">
        <is>
          <t>KNIT SHIRTS</t>
        </is>
      </c>
      <c r="D489">
        <f>U489</f>
        <v/>
      </c>
      <c r="E489" t="n">
        <v>1114672</v>
      </c>
      <c r="F489" t="inlineStr">
        <is>
          <t>MERINO WOOL PLUS LIGHT HOODIE MEN'S</t>
        </is>
      </c>
      <c r="G489" t="inlineStr">
        <is>
          <t>BK      DGN      LGY      YL</t>
        </is>
      </c>
      <c r="H489" t="inlineStr">
        <is>
          <t>LGY      YL</t>
        </is>
      </c>
      <c r="I489">
        <f>VLOOKUP(H489,[1]尺寸簡表!$C$3:$D$1263,2,0)</f>
        <v/>
      </c>
      <c r="J489" t="n">
        <v>3820</v>
      </c>
      <c r="K489" t="inlineStr">
        <is>
          <t>◎ 材質：中厚手，美麗諾羊毛78%、聚酯纖維22%、排汗抗臭、防縮加工可水洗、UV CUT素材可遮蔽90%紫外線。</t>
        </is>
      </c>
    </row>
    <row r="490">
      <c r="A490" t="inlineStr"/>
      <c r="B490" t="inlineStr"/>
      <c r="C490" t="inlineStr">
        <is>
          <t>KNIT SHIRTS</t>
        </is>
      </c>
      <c r="D490">
        <f>U490</f>
        <v/>
      </c>
      <c r="E490" t="n">
        <v>1114673</v>
      </c>
      <c r="F490" t="inlineStr">
        <is>
          <t>MERINO WOOL PLUS LIGHT HOODIE WOMEN'S</t>
        </is>
      </c>
      <c r="G490" t="inlineStr">
        <is>
          <t>BGN      BK      LGY      WRD</t>
        </is>
      </c>
      <c r="I490">
        <f>VLOOKUP(H490,[1]尺寸簡表!$C$3:$D$1263,2,0)</f>
        <v/>
      </c>
      <c r="J490" t="n">
        <v>3530</v>
      </c>
      <c r="K490" t="inlineStr">
        <is>
          <t>◎ 材質：中厚手，美麗諾羊毛78%、聚酯纖維22%、排汗抗臭、防縮加工可水洗、UV CUT素材可遮蔽90%紫外線。</t>
        </is>
      </c>
    </row>
    <row r="491">
      <c r="A491" t="inlineStr"/>
      <c r="B491" t="inlineStr"/>
      <c r="C491" t="inlineStr">
        <is>
          <t>KNIT SHIRTS</t>
        </is>
      </c>
      <c r="D491">
        <f>U491</f>
        <v/>
      </c>
      <c r="E491" t="n">
        <v>1114606</v>
      </c>
      <c r="F491" t="inlineStr">
        <is>
          <t>MERINO WOOL PLUS LIGHT LONG SLEEVE T MEN'S</t>
        </is>
      </c>
      <c r="G491" t="inlineStr">
        <is>
          <t>BL      DGN      DGY      OG      PU      WRD1</t>
        </is>
      </c>
      <c r="H491" t="inlineStr">
        <is>
          <t>DGY</t>
        </is>
      </c>
      <c r="I491">
        <f>VLOOKUP(H491,[1]尺寸簡表!$C$3:$D$1263,2,0)</f>
        <v/>
      </c>
      <c r="J491" t="n">
        <v>3100</v>
      </c>
      <c r="K491" t="inlineStr">
        <is>
          <t>◎ 材質：薄手，美麗諾羊毛78%、聚酯纖維22%、排汗抗臭、防縮加工可水洗、UV CUT。</t>
        </is>
      </c>
    </row>
    <row r="492">
      <c r="A492" t="inlineStr"/>
      <c r="B492" t="inlineStr"/>
      <c r="C492" t="inlineStr">
        <is>
          <t>KNIT SHIRTS</t>
        </is>
      </c>
      <c r="D492">
        <f>U492</f>
        <v/>
      </c>
      <c r="E492" t="n">
        <v>1114619</v>
      </c>
      <c r="F492" t="inlineStr">
        <is>
          <t>MERINO WOOL PLUS LIGHT LONG SLEEVE T MEN'S MOUNTAIN COLLAGE</t>
        </is>
      </c>
      <c r="G492" t="inlineStr">
        <is>
          <t>DGY</t>
        </is>
      </c>
      <c r="H492" t="inlineStr">
        <is>
          <t>DGY</t>
        </is>
      </c>
      <c r="I492">
        <f>VLOOKUP(H492,[1]尺寸簡表!$C$3:$D$1263,2,0)</f>
        <v/>
      </c>
      <c r="J492" t="n">
        <v>3160</v>
      </c>
      <c r="K492" t="inlineStr">
        <is>
          <t>◎ 材質：薄手，美麗諾羊毛78%、聚酯纖維22%、排汗抗臭、防縮加工可水洗、UV CUT。</t>
        </is>
      </c>
    </row>
    <row r="493">
      <c r="A493" t="inlineStr"/>
      <c r="B493" t="inlineStr"/>
      <c r="C493" t="inlineStr">
        <is>
          <t>KNIT SHIRTS</t>
        </is>
      </c>
      <c r="D493">
        <f>U493</f>
        <v/>
      </c>
      <c r="E493" t="n">
        <v>1114617</v>
      </c>
      <c r="F493" t="inlineStr">
        <is>
          <t>MERINO WOOL PLUS LIGHT LONG SLEEVE T MEN'S NORTHERN ANIMAL LOGO</t>
        </is>
      </c>
      <c r="G493" t="inlineStr">
        <is>
          <t>YL</t>
        </is>
      </c>
      <c r="H493" t="inlineStr">
        <is>
          <t>YL</t>
        </is>
      </c>
      <c r="I493">
        <f>VLOOKUP(H493,[1]尺寸簡表!$C$3:$D$1263,2,0)</f>
        <v/>
      </c>
      <c r="J493" t="n">
        <v>3160</v>
      </c>
      <c r="K493" t="inlineStr">
        <is>
          <t>◎ 材質：薄手，美麗諾羊毛78%、聚酯纖維22%、排汗抗臭、防縮加工可水洗、UV CUT。</t>
        </is>
      </c>
    </row>
    <row r="494">
      <c r="A494" t="inlineStr"/>
      <c r="B494" t="inlineStr"/>
      <c r="C494" t="inlineStr">
        <is>
          <t>KNIT SHIRTS</t>
        </is>
      </c>
      <c r="D494">
        <f>U494</f>
        <v/>
      </c>
      <c r="E494" t="n">
        <v>1114607</v>
      </c>
      <c r="F494" t="inlineStr">
        <is>
          <t>MERINO WOOL PLUS LIGHT LONG SLEEVE T WOMEN'S</t>
        </is>
      </c>
      <c r="G494" t="inlineStr">
        <is>
          <t>BGN      DGY1      KH      NV1      PU</t>
        </is>
      </c>
      <c r="H494" t="inlineStr">
        <is>
          <t>BGN</t>
        </is>
      </c>
      <c r="I494">
        <f>VLOOKUP(H494,[1]尺寸簡表!$C$3:$D$1263,2,0)</f>
        <v/>
      </c>
      <c r="J494" t="n">
        <v>2960</v>
      </c>
      <c r="K494" t="inlineStr">
        <is>
          <t>◎ 材質：薄手，美麗諾羊毛78%、聚酯纖維22%、排汗抗臭、防縮加工可水洗、UV CUT。</t>
        </is>
      </c>
    </row>
    <row r="495">
      <c r="A495" t="inlineStr"/>
      <c r="B495" t="inlineStr"/>
      <c r="C495" t="inlineStr">
        <is>
          <t>KNIT SHIRTS</t>
        </is>
      </c>
      <c r="D495">
        <f>U495</f>
        <v/>
      </c>
      <c r="E495" t="n">
        <v>1114620</v>
      </c>
      <c r="F495" t="inlineStr">
        <is>
          <t>MERINO WOOL PLUS LIGHT LONG SLEEVE T WOMEN'S MOUNTAIN COLLAGE</t>
        </is>
      </c>
      <c r="G495" t="inlineStr">
        <is>
          <t>NV</t>
        </is>
      </c>
      <c r="H495" t="inlineStr">
        <is>
          <t>NV</t>
        </is>
      </c>
      <c r="I495">
        <f>VLOOKUP(H495,[1]尺寸簡表!$C$3:$D$1263,2,0)</f>
        <v/>
      </c>
      <c r="J495" t="n">
        <v>3100</v>
      </c>
      <c r="K495" t="inlineStr">
        <is>
          <t>◎ 材質：薄手，美麗諾羊毛78%、聚酯纖維22%、排汗抗臭、防縮加工可水洗、UV CUT。</t>
        </is>
      </c>
    </row>
    <row r="496">
      <c r="A496" t="inlineStr"/>
      <c r="B496" t="inlineStr"/>
      <c r="C496" t="inlineStr">
        <is>
          <t>KNIT SHIRTS</t>
        </is>
      </c>
      <c r="D496">
        <f>U496</f>
        <v/>
      </c>
      <c r="E496" t="n">
        <v>1114618</v>
      </c>
      <c r="F496" t="inlineStr">
        <is>
          <t>MERINO WOOL PLUS LIGHT LONG SLEEVE T WOMEN'S NORTHERN ANIMAL LOGO</t>
        </is>
      </c>
      <c r="G496" t="inlineStr">
        <is>
          <t>BL      DGY</t>
        </is>
      </c>
      <c r="H496" t="inlineStr">
        <is>
          <t>DGY</t>
        </is>
      </c>
      <c r="I496">
        <f>VLOOKUP(H496,[1]尺寸簡表!$C$3:$D$1263,2,0)</f>
        <v/>
      </c>
      <c r="J496" t="n">
        <v>2960</v>
      </c>
      <c r="K496" t="inlineStr">
        <is>
          <t>◎ 材質：薄手，美麗諾羊毛78%、聚酯纖維22%、排汗抗臭、防縮加工可水洗、UV CUT。</t>
        </is>
      </c>
    </row>
    <row r="497">
      <c r="A497" t="inlineStr"/>
      <c r="B497" t="inlineStr"/>
      <c r="C497" t="inlineStr">
        <is>
          <t>KNIT SHIRTS</t>
        </is>
      </c>
      <c r="D497">
        <f>U497</f>
        <v/>
      </c>
      <c r="E497" t="n">
        <v>1114442</v>
      </c>
      <c r="F497" t="inlineStr">
        <is>
          <t>MERINO WOOL PLUS STRIPED LONG SLEEVE T WOMEN'S</t>
        </is>
      </c>
      <c r="G497" t="inlineStr">
        <is>
          <t>BGN      ID/OF      LGY</t>
        </is>
      </c>
      <c r="I497">
        <f>VLOOKUP(H497,[1]尺寸簡表!$C$3:$D$1263,2,0)</f>
        <v/>
      </c>
      <c r="J497" t="n">
        <v>3460</v>
      </c>
      <c r="K497" t="inlineStr">
        <is>
          <t>◎ 材質：中厚手，美麗諾羊毛83%、聚酯纖維17%、排汗抗臭、防縮加工可水洗、UV CUT素材可遮蔽90%紫外線。</t>
        </is>
      </c>
    </row>
    <row r="498">
      <c r="A498" t="inlineStr"/>
      <c r="B498" t="inlineStr"/>
      <c r="C498" t="inlineStr">
        <is>
          <t>KNIT SHIRTS</t>
        </is>
      </c>
      <c r="D498">
        <f>U498</f>
        <v/>
      </c>
      <c r="E498" t="n">
        <v>1114390</v>
      </c>
      <c r="F498" t="inlineStr">
        <is>
          <t>MOUNTAIN JERSEY JACKET MEN'S</t>
        </is>
      </c>
      <c r="G498" t="inlineStr">
        <is>
          <t>BK      BKNV      HGY</t>
        </is>
      </c>
      <c r="H498" t="inlineStr">
        <is>
          <t>HGY</t>
        </is>
      </c>
      <c r="I498">
        <f>VLOOKUP(H498,[1]尺寸簡表!$C$3:$D$1263,2,0)</f>
        <v/>
      </c>
      <c r="J498" t="n">
        <v>2520</v>
      </c>
      <c r="K498" t="inlineStr">
        <is>
          <t>◎ 材質：WICKRON®ZEO聚酯纖維，拉鍊不卡設計，適登山健行等戶外活動，附3個拉鍊口袋。</t>
        </is>
      </c>
    </row>
    <row r="499">
      <c r="A499" t="inlineStr"/>
      <c r="B499" t="inlineStr"/>
      <c r="C499" t="inlineStr">
        <is>
          <t>KNIT SHIRTS</t>
        </is>
      </c>
      <c r="D499">
        <f>U499</f>
        <v/>
      </c>
      <c r="E499" t="n">
        <v>1114391</v>
      </c>
      <c r="F499" t="inlineStr">
        <is>
          <t>MOUNTAIN JERSEY JACKET WOMEN'S</t>
        </is>
      </c>
      <c r="G499" t="inlineStr">
        <is>
          <t>BK      WTSM</t>
        </is>
      </c>
      <c r="H499" t="inlineStr">
        <is>
          <t>BK</t>
        </is>
      </c>
      <c r="I499">
        <f>VLOOKUP(H499,[1]尺寸簡表!$C$3:$D$1263,2,0)</f>
        <v/>
      </c>
      <c r="J499" t="n">
        <v>2410</v>
      </c>
      <c r="K499" t="inlineStr">
        <is>
          <t>◎ 材質：WICKRON®ZEO聚酯纖維，拉鍊不卡設計，適登山健行等戶外活動，附3個拉鍊口袋。</t>
        </is>
      </c>
    </row>
    <row r="500">
      <c r="A500" t="inlineStr"/>
      <c r="B500" t="inlineStr"/>
      <c r="C500" t="inlineStr">
        <is>
          <t>KNIT SHIRTS</t>
        </is>
      </c>
      <c r="D500">
        <f>U500</f>
        <v/>
      </c>
      <c r="E500" t="n">
        <v>1114891</v>
      </c>
      <c r="F500" t="inlineStr">
        <is>
          <t>RIPPLE KNIT CARDIGAN WOMEN'S</t>
        </is>
      </c>
      <c r="G500" t="inlineStr">
        <is>
          <t>DGY      IV      YL</t>
        </is>
      </c>
      <c r="H500" t="inlineStr">
        <is>
          <t>IV</t>
        </is>
      </c>
      <c r="I500">
        <f>VLOOKUP(H500,[1]尺寸簡表!$C$3:$D$1263,2,0)</f>
        <v/>
      </c>
      <c r="J500" t="n">
        <v>2650</v>
      </c>
      <c r="K500" t="inlineStr">
        <is>
          <t>◎ 材質：聚酯纖維100%。V領按扣式開襟外套。</t>
        </is>
      </c>
    </row>
    <row r="501">
      <c r="A501" t="inlineStr"/>
      <c r="B501" t="inlineStr"/>
      <c r="C501" t="inlineStr">
        <is>
          <t>KNIT SHIRTS</t>
        </is>
      </c>
      <c r="D501">
        <f>U501</f>
        <v/>
      </c>
      <c r="E501" t="n">
        <v>1114889</v>
      </c>
      <c r="F501" t="inlineStr">
        <is>
          <t>RIPPLE KNIT LONG SHIRT WOMEN'S</t>
        </is>
      </c>
      <c r="G501" t="inlineStr">
        <is>
          <t>DGY      IV      YL</t>
        </is>
      </c>
      <c r="H501" t="inlineStr">
        <is>
          <t>IV</t>
        </is>
      </c>
      <c r="I501">
        <f>VLOOKUP(H501,[1]尺寸簡表!$C$3:$D$1263,2,0)</f>
        <v/>
      </c>
      <c r="J501" t="n">
        <v>2130</v>
      </c>
      <c r="K501" t="inlineStr">
        <is>
          <t>◎ 材質：聚酯纖維100%。長版圓領寬鬆上衣。</t>
        </is>
      </c>
    </row>
    <row r="502">
      <c r="A502" t="inlineStr"/>
      <c r="B502" t="inlineStr"/>
      <c r="C502" t="inlineStr">
        <is>
          <t>KNIT SHIRTS</t>
        </is>
      </c>
      <c r="D502">
        <f>U502</f>
        <v/>
      </c>
      <c r="E502" t="n">
        <v>1114890</v>
      </c>
      <c r="F502" t="inlineStr">
        <is>
          <t>RIPPLE KNIT PULLOVER WOMEN'S</t>
        </is>
      </c>
      <c r="G502" t="inlineStr">
        <is>
          <t>DGY      IV      YL</t>
        </is>
      </c>
      <c r="H502" t="inlineStr">
        <is>
          <t>YL</t>
        </is>
      </c>
      <c r="I502">
        <f>VLOOKUP(H502,[1]尺寸簡表!$C$3:$D$1263,2,0)</f>
        <v/>
      </c>
      <c r="J502" t="n">
        <v>2250</v>
      </c>
      <c r="K502" t="inlineStr">
        <is>
          <t>◎ 材質：聚酯纖維100%。長版半門襟寬鬆上衣。</t>
        </is>
      </c>
    </row>
    <row r="503">
      <c r="A503" t="inlineStr"/>
      <c r="B503" t="inlineStr"/>
      <c r="C503" t="inlineStr">
        <is>
          <t>KNIT SHIRTS</t>
        </is>
      </c>
      <c r="D503">
        <f>U503</f>
        <v/>
      </c>
      <c r="E503" t="n">
        <v>2104851</v>
      </c>
      <c r="F503" t="inlineStr">
        <is>
          <t>WASHED OUT COTTON SWEATSHIRT</t>
        </is>
      </c>
      <c r="G503" t="inlineStr">
        <is>
          <t>DGY      LGN      OG      PU</t>
        </is>
      </c>
      <c r="H503" t="inlineStr">
        <is>
          <t>LGN      PU      OG</t>
        </is>
      </c>
      <c r="I503">
        <f>VLOOKUP(H503,[1]尺寸簡表!$C$3:$D$1263,2,0)</f>
        <v/>
      </c>
      <c r="J503" t="n">
        <v>2810</v>
      </c>
      <c r="K503" t="inlineStr">
        <is>
          <t>◎ 材質：棉100%。觸感扎實親膚，耐用不變形；特殊紡織技術使布料不黏附在肌膚上，創造出清爽舒適的穿著感、UV CUT素材可遮蔽90%紫外線。</t>
        </is>
      </c>
    </row>
    <row r="504">
      <c r="A504" t="inlineStr"/>
      <c r="B504" t="inlineStr"/>
      <c r="C504" t="inlineStr">
        <is>
          <t>KNIT SHIRTS</t>
        </is>
      </c>
      <c r="D504">
        <f>U504</f>
        <v/>
      </c>
      <c r="E504" t="n">
        <v>1114770</v>
      </c>
      <c r="F504" t="inlineStr">
        <is>
          <t>WICKRON LONG SLEEVE T GEAR CIRCLE</t>
        </is>
      </c>
      <c r="G504" t="inlineStr">
        <is>
          <t>DGY      IV</t>
        </is>
      </c>
      <c r="H504" t="inlineStr">
        <is>
          <t>DGY</t>
        </is>
      </c>
      <c r="I504">
        <f>VLOOKUP(H504,[1]尺寸簡表!$C$3:$D$1263,2,0)</f>
        <v/>
      </c>
      <c r="J504" t="n">
        <v>1200</v>
      </c>
      <c r="K504" t="inlineStr">
        <is>
          <t>◎ wickron® SUPER WICKDRY FIBER：光觸媒粒子分解異味、抗污、抑菌。抗起毛球、UV CUT。</t>
        </is>
      </c>
    </row>
    <row r="505">
      <c r="A505" t="inlineStr"/>
      <c r="B505" t="inlineStr"/>
      <c r="C505" t="inlineStr">
        <is>
          <t>KNIT SHIRTS</t>
        </is>
      </c>
      <c r="D505">
        <f>U505</f>
        <v/>
      </c>
      <c r="E505" t="n">
        <v>1114852</v>
      </c>
      <c r="F505" t="inlineStr">
        <is>
          <t>WICKRON LONG SLEEVE T LAKESHORE</t>
        </is>
      </c>
      <c r="G505" t="inlineStr">
        <is>
          <t>DGY      IV</t>
        </is>
      </c>
      <c r="H505" t="inlineStr">
        <is>
          <t>DGY</t>
        </is>
      </c>
      <c r="I505">
        <f>VLOOKUP(H505,[1]尺寸簡表!$C$3:$D$1263,2,0)</f>
        <v/>
      </c>
      <c r="J505" t="n">
        <v>1190</v>
      </c>
      <c r="K505" t="inlineStr">
        <is>
          <t>◎ wickron® SUPER WICKDRY FIBER：光觸媒粒子分解異味、抗污、抑菌。抗起毛球、UV CUT。</t>
        </is>
      </c>
    </row>
    <row r="506">
      <c r="A506" t="inlineStr"/>
      <c r="B506" t="inlineStr"/>
      <c r="C506" t="inlineStr">
        <is>
          <t>KNIT SHIRTS</t>
        </is>
      </c>
      <c r="D506">
        <f>U506</f>
        <v/>
      </c>
      <c r="E506" t="n">
        <v>1114773</v>
      </c>
      <c r="F506" t="inlineStr">
        <is>
          <t>WICKRON LONG SLEEVE T MONTA BEAR FACE</t>
        </is>
      </c>
      <c r="G506" t="inlineStr">
        <is>
          <t>BK</t>
        </is>
      </c>
      <c r="H506" t="inlineStr">
        <is>
          <t>BK</t>
        </is>
      </c>
      <c r="I506">
        <f>VLOOKUP(H506,[1]尺寸簡表!$C$3:$D$1263,2,0)</f>
        <v/>
      </c>
      <c r="J506" t="n">
        <v>1200</v>
      </c>
      <c r="K506" t="inlineStr">
        <is>
          <t>◎ wickron® SUPER WICKDRY FIBER：光觸媒粒子分解異味、抗污、抑菌。抗起毛球、UV CUT。</t>
        </is>
      </c>
    </row>
    <row r="507">
      <c r="A507" t="inlineStr"/>
      <c r="B507" t="inlineStr"/>
      <c r="C507" t="inlineStr">
        <is>
          <t>KNIT SHIRTS</t>
        </is>
      </c>
      <c r="D507">
        <f>U507</f>
        <v/>
      </c>
      <c r="E507" t="n">
        <v>1114772</v>
      </c>
      <c r="F507" t="inlineStr">
        <is>
          <t>WICKRON LONG SLEEVE T MOUNTAIN GEAR</t>
        </is>
      </c>
      <c r="G507" t="inlineStr">
        <is>
          <t>KGN      PU</t>
        </is>
      </c>
      <c r="H507" t="inlineStr">
        <is>
          <t>KGN      PU</t>
        </is>
      </c>
      <c r="I507">
        <f>VLOOKUP(H507,[1]尺寸簡表!$C$3:$D$1263,2,0)</f>
        <v/>
      </c>
      <c r="J507" t="n">
        <v>1200</v>
      </c>
      <c r="K507" t="inlineStr">
        <is>
          <t>◎ wickron® SUPER WICKDRY FIBER：光觸媒粒子分解異味、抗污、抑菌。抗起毛球、UV CUT。</t>
        </is>
      </c>
    </row>
    <row r="508">
      <c r="A508" t="inlineStr"/>
      <c r="B508" t="inlineStr"/>
      <c r="C508" t="inlineStr">
        <is>
          <t>KNIT SHIRTS</t>
        </is>
      </c>
      <c r="D508">
        <f>U508</f>
        <v/>
      </c>
      <c r="E508" t="n">
        <v>1114771</v>
      </c>
      <c r="F508" t="inlineStr">
        <is>
          <t>WICKRON LONG SLEEVE T SHIROI YAMAOTOKO</t>
        </is>
      </c>
      <c r="G508" t="inlineStr">
        <is>
          <t>NV</t>
        </is>
      </c>
      <c r="H508" t="inlineStr">
        <is>
          <t>NV</t>
        </is>
      </c>
      <c r="I508">
        <f>VLOOKUP(H508,[1]尺寸簡表!$C$3:$D$1263,2,0)</f>
        <v/>
      </c>
      <c r="J508" t="n">
        <v>1200</v>
      </c>
      <c r="K508" t="inlineStr">
        <is>
          <t>◎ wickron® SUPER WICKDRY FIBER：光觸媒粒子分解異味、抗污、抑菌。抗起毛球、UV CUT。</t>
        </is>
      </c>
    </row>
    <row r="509">
      <c r="A509" t="inlineStr"/>
      <c r="B509" t="inlineStr"/>
      <c r="C509" t="inlineStr">
        <is>
          <t>KNIT SHIRTS</t>
        </is>
      </c>
      <c r="D509">
        <f>U509</f>
        <v/>
      </c>
      <c r="E509" t="n">
        <v>1114768</v>
      </c>
      <c r="F509" t="inlineStr">
        <is>
          <t>WICKRON LONG SLEEVE T WHITE MOUNTAIN RANGE</t>
        </is>
      </c>
      <c r="G509" t="inlineStr">
        <is>
          <t>NV      WT</t>
        </is>
      </c>
      <c r="H509" t="inlineStr">
        <is>
          <t>NV</t>
        </is>
      </c>
      <c r="I509">
        <f>VLOOKUP(H509,[1]尺寸簡表!$C$3:$D$1263,2,0)</f>
        <v/>
      </c>
      <c r="J509" t="n">
        <v>1200</v>
      </c>
      <c r="K509" t="inlineStr">
        <is>
          <t>◎ wickron® SUPER WICKDRY FIBER：光觸媒粒子分解異味、抗污、抑菌。抗起毛球、UV CUT。</t>
        </is>
      </c>
    </row>
    <row r="510">
      <c r="A510" t="inlineStr"/>
      <c r="B510" t="inlineStr"/>
      <c r="C510" t="inlineStr">
        <is>
          <t>KNIT SHIRTS</t>
        </is>
      </c>
      <c r="D510">
        <f>U510</f>
        <v/>
      </c>
      <c r="E510" t="n">
        <v>1114959</v>
      </c>
      <c r="F510" t="inlineStr">
        <is>
          <t>WICKRON LONG SLEEVE T WINTER MOUNTAINEERING</t>
        </is>
      </c>
      <c r="G510" t="inlineStr">
        <is>
          <t>WT</t>
        </is>
      </c>
      <c r="H510" t="inlineStr">
        <is>
          <t>WT</t>
        </is>
      </c>
      <c r="I510">
        <f>VLOOKUP(H510,[1]尺寸簡表!$C$3:$D$1263,2,0)</f>
        <v/>
      </c>
      <c r="J510" t="n">
        <v>1200</v>
      </c>
      <c r="K510" t="inlineStr">
        <is>
          <t>◎ wickron® SUPER WICKDRY FIBER：光觸媒粒子分解異味、抗污、抑菌。抗起毛球、UV CUT。</t>
        </is>
      </c>
    </row>
    <row r="511">
      <c r="A511" t="inlineStr"/>
      <c r="B511" t="inlineStr"/>
      <c r="C511" t="inlineStr">
        <is>
          <t>KNIT SHIRTS</t>
        </is>
      </c>
      <c r="D511">
        <f>U511</f>
        <v/>
      </c>
      <c r="E511" t="n">
        <v>1114859</v>
      </c>
      <c r="F511" t="inlineStr">
        <is>
          <t>WICKRON LONG SLEEVE T WOMEN'S LAKESHORE</t>
        </is>
      </c>
      <c r="G511" t="inlineStr">
        <is>
          <t>IV      NV</t>
        </is>
      </c>
      <c r="H511" t="inlineStr">
        <is>
          <t>NV</t>
        </is>
      </c>
      <c r="I511">
        <f>VLOOKUP(H511,[1]尺寸簡表!$C$3:$D$1263,2,0)</f>
        <v/>
      </c>
      <c r="J511" t="n">
        <v>1190</v>
      </c>
      <c r="K511" t="inlineStr">
        <is>
          <t>◎ wickron® SUPER WICKDRY FIBER：光觸媒粒子分解異味、抗污、抑菌。抗起毛球、UV CUT。</t>
        </is>
      </c>
    </row>
    <row r="512">
      <c r="A512" t="inlineStr"/>
      <c r="B512" t="inlineStr"/>
      <c r="C512" t="inlineStr">
        <is>
          <t>KNIT SHIRTS</t>
        </is>
      </c>
      <c r="D512">
        <f>U512</f>
        <v/>
      </c>
      <c r="E512" t="n">
        <v>1114795</v>
      </c>
      <c r="F512" t="inlineStr">
        <is>
          <t>WICKRON LONG SLEEVE T WOMEN'S MONTA BEAR FACE</t>
        </is>
      </c>
      <c r="G512" t="inlineStr">
        <is>
          <t>BK</t>
        </is>
      </c>
      <c r="H512" t="inlineStr">
        <is>
          <t>BK</t>
        </is>
      </c>
      <c r="I512">
        <f>VLOOKUP(H512,[1]尺寸簡表!$C$3:$D$1263,2,0)</f>
        <v/>
      </c>
      <c r="J512" t="n">
        <v>1100</v>
      </c>
      <c r="K512" t="inlineStr">
        <is>
          <t>◎ wickron® SUPER WICKDRY FIBER：光觸媒粒子分解異味、抗污、抑菌。抗起毛球、UV CUT。</t>
        </is>
      </c>
    </row>
    <row r="513">
      <c r="A513" t="inlineStr"/>
      <c r="B513" t="inlineStr"/>
      <c r="C513" t="inlineStr">
        <is>
          <t>KNIT SHIRTS</t>
        </is>
      </c>
      <c r="D513">
        <f>U513</f>
        <v/>
      </c>
      <c r="E513" t="n">
        <v>1114797</v>
      </c>
      <c r="F513" t="inlineStr">
        <is>
          <t>WICKRON LONG SLEEVE T WOMEN'S MOUNTAIN GEAR</t>
        </is>
      </c>
      <c r="G513" t="inlineStr">
        <is>
          <t>KH      PU</t>
        </is>
      </c>
      <c r="H513" t="inlineStr">
        <is>
          <t>KH      PU</t>
        </is>
      </c>
      <c r="I513">
        <f>VLOOKUP(H513,[1]尺寸簡表!$C$3:$D$1263,2,0)</f>
        <v/>
      </c>
      <c r="J513" t="n">
        <v>1200</v>
      </c>
      <c r="K513" t="inlineStr">
        <is>
          <t>◎ wickron® SUPER WICKDRY FIBER：光觸媒粒子分解異味、抗污、抑菌。抗起毛球、UV CUT。</t>
        </is>
      </c>
    </row>
    <row r="514">
      <c r="A514" t="inlineStr"/>
      <c r="B514" t="inlineStr"/>
      <c r="C514" t="inlineStr">
        <is>
          <t>KNIT SHIRTS</t>
        </is>
      </c>
      <c r="D514">
        <f>U514</f>
        <v/>
      </c>
      <c r="E514" t="n">
        <v>1114796</v>
      </c>
      <c r="F514" t="inlineStr">
        <is>
          <t>WICKRON LONG SLEEVE T WOMEN'S ROPE</t>
        </is>
      </c>
      <c r="G514" t="inlineStr">
        <is>
          <t>DGY      LBL</t>
        </is>
      </c>
      <c r="I514">
        <f>VLOOKUP(H514,[1]尺寸簡表!$C$3:$D$1263,2,0)</f>
        <v/>
      </c>
      <c r="J514" t="n">
        <v>1190</v>
      </c>
      <c r="K514" t="inlineStr">
        <is>
          <t>◎ wickron® SUPER WICKDRY FIBER：光觸媒粒子分解異味、抗污、抑菌。抗起毛球、UV CUT。</t>
        </is>
      </c>
    </row>
    <row r="515">
      <c r="A515" t="inlineStr"/>
      <c r="B515" t="inlineStr"/>
      <c r="C515" t="inlineStr">
        <is>
          <t>KNIT SHIRTS</t>
        </is>
      </c>
      <c r="D515">
        <f>U515</f>
        <v/>
      </c>
      <c r="E515" t="n">
        <v>1114693</v>
      </c>
      <c r="F515" t="inlineStr">
        <is>
          <t>WICKRON RAGLAN LONG SLEEVE T MEN'S</t>
        </is>
      </c>
      <c r="G515" t="inlineStr">
        <is>
          <t>BGN      BN      DGY      DGY24      WT</t>
        </is>
      </c>
      <c r="H515" t="inlineStr">
        <is>
          <t>BN</t>
        </is>
      </c>
      <c r="I515">
        <f>VLOOKUP(H515,[1]尺寸簡表!$C$3:$D$1263,2,0)</f>
        <v/>
      </c>
      <c r="J515" t="n">
        <v>1150</v>
      </c>
      <c r="K515" t="inlineStr">
        <is>
          <t>◎ wickron® SUPER WICKDRY FIBER：光觸媒粒子分解異味、抗污、抑菌。抗起毛球、UV CUT。</t>
        </is>
      </c>
    </row>
    <row r="516">
      <c r="A516" t="inlineStr"/>
      <c r="B516" t="inlineStr"/>
      <c r="C516" t="inlineStr">
        <is>
          <t>KNIT SHIRTS</t>
        </is>
      </c>
      <c r="D516">
        <f>U516</f>
        <v/>
      </c>
      <c r="E516" t="n">
        <v>1114694</v>
      </c>
      <c r="F516" t="inlineStr">
        <is>
          <t>WICKRON RAGLAN LONG SLEEVE T WOMEN'S</t>
        </is>
      </c>
      <c r="G516" t="inlineStr">
        <is>
          <t>BGN      DGN      NV      PK      WT</t>
        </is>
      </c>
      <c r="H516" t="inlineStr">
        <is>
          <t>BGN      PK</t>
        </is>
      </c>
      <c r="I516">
        <f>VLOOKUP(H516,[1]尺寸簡表!$C$3:$D$1263,2,0)</f>
        <v/>
      </c>
      <c r="J516" t="n">
        <v>1160</v>
      </c>
      <c r="K516" t="inlineStr">
        <is>
          <t>◎ wickron® SUPER WICKDRY FIBER：光觸媒粒子分解異味、抗污、抑菌。抗起毛球、UV CUT。</t>
        </is>
      </c>
    </row>
    <row r="517">
      <c r="A517" t="inlineStr"/>
      <c r="B517" t="inlineStr"/>
      <c r="C517" t="inlineStr">
        <is>
          <t>KNIT SHIRTS</t>
        </is>
      </c>
      <c r="D517">
        <f>U517</f>
        <v/>
      </c>
      <c r="E517" t="n">
        <v>1114544</v>
      </c>
      <c r="F517" t="inlineStr">
        <is>
          <t>WICKRON STRIPED LONG SLEEVE T WOMEN'S</t>
        </is>
      </c>
      <c r="G517" t="inlineStr">
        <is>
          <t>D/B-W      IV/DN      LG/IV      WT/RD</t>
        </is>
      </c>
      <c r="H517" t="inlineStr">
        <is>
          <t>IV/DN      WT/RD      LG/IV</t>
        </is>
      </c>
      <c r="I517">
        <f>VLOOKUP(H517,[1]尺寸簡表!$C$3:$D$1263,2,0)</f>
        <v/>
      </c>
      <c r="J517" t="n">
        <v>1400</v>
      </c>
      <c r="K517" t="inlineStr">
        <is>
          <t>◎ wickron® SUPER WICKDRY FIBER：光觸媒粒子分解異味、抗污、抑菌。抗起毛球、UV CUT。</t>
        </is>
      </c>
    </row>
    <row r="518">
      <c r="A518" t="inlineStr"/>
      <c r="B518" t="inlineStr"/>
      <c r="C518" t="inlineStr">
        <is>
          <t>KNIT SHIRTS</t>
        </is>
      </c>
      <c r="D518">
        <f>U518</f>
        <v/>
      </c>
      <c r="E518" t="n">
        <v>1104938</v>
      </c>
      <c r="F518" t="inlineStr">
        <is>
          <t>WICKRON ZEO LONG SLEEVE T MEN'S</t>
        </is>
      </c>
      <c r="G518" t="inlineStr">
        <is>
          <t>DUGN      GM      IND      OG      WT25</t>
        </is>
      </c>
      <c r="H518" t="inlineStr">
        <is>
          <t>IND      OG</t>
        </is>
      </c>
      <c r="I518">
        <f>VLOOKUP(H518,[1]尺寸簡表!$C$3:$D$1263,2,0)</f>
        <v/>
      </c>
      <c r="J518" t="n">
        <v>1370</v>
      </c>
      <c r="K518" t="inlineStr">
        <is>
          <t>◎ wickron®ZEO布料除了有良好的排汗透氣及抗臭機能，其立體編織具有保溫性。
◎ UV CUT素材可遮蔽90%紫外線。
◎ 袖口專利螺紋立體剪裁，服貼腕部，增加活動的舒適性。</t>
        </is>
      </c>
    </row>
    <row r="519">
      <c r="A519" t="inlineStr"/>
      <c r="B519" t="inlineStr"/>
      <c r="C519" t="inlineStr">
        <is>
          <t>KNIT SHIRTS</t>
        </is>
      </c>
      <c r="D519">
        <f>U519</f>
        <v/>
      </c>
      <c r="E519" t="n">
        <v>1104939</v>
      </c>
      <c r="F519" t="inlineStr">
        <is>
          <t>WICKRON ZEO LONG SLEEVE T WOMEN'S</t>
        </is>
      </c>
      <c r="G519" t="inlineStr">
        <is>
          <t>CHGY      LBL      PU      WTH</t>
        </is>
      </c>
      <c r="H519" t="inlineStr">
        <is>
          <t>CHGY      PU</t>
        </is>
      </c>
      <c r="I519">
        <f>VLOOKUP(H519,[1]尺寸簡表!$C$3:$D$1263,2,0)</f>
        <v/>
      </c>
      <c r="J519" t="n">
        <v>1260</v>
      </c>
      <c r="K519" t="inlineStr">
        <is>
          <t>◎ wickron®ZEO布料除了有良好的排汗透氣及抗臭機能，其立體編織具有保溫性。
◎ UV CUT素材可遮蔽90%紫外線。
◎ 袖口專利螺紋立體剪裁，服貼腕部，增加活動的舒適性。</t>
        </is>
      </c>
    </row>
    <row r="520">
      <c r="A520" t="inlineStr"/>
      <c r="B520" t="inlineStr"/>
      <c r="C520" t="inlineStr">
        <is>
          <t>KNIT SHIRTS</t>
        </is>
      </c>
      <c r="D520">
        <f>U520</f>
        <v/>
      </c>
      <c r="E520" t="n">
        <v>1104940</v>
      </c>
      <c r="F520" t="inlineStr">
        <is>
          <t>WICKRON ZEO LONG SLEEVE ZIP SHIRT MEN'S</t>
        </is>
      </c>
      <c r="G520" t="inlineStr">
        <is>
          <t>BL      DUGN      GM      OG      WTH</t>
        </is>
      </c>
      <c r="H520" t="inlineStr">
        <is>
          <t>DUGN      GM</t>
        </is>
      </c>
      <c r="I520">
        <f>VLOOKUP(H520,[1]尺寸簡表!$C$3:$D$1263,2,0)</f>
        <v/>
      </c>
      <c r="J520" t="n">
        <v>1700</v>
      </c>
      <c r="K520" t="inlineStr">
        <is>
          <t>◎ wickron®ZEO布料除了有良好的排汗透氣及抗臭機能，其立體編織具有保溫性。
◎ UV CUT素材可遮蔽90%紫外線。
◎ 袖口專利螺紋立體剪裁，服貼腕部，增加活動的舒適性。</t>
        </is>
      </c>
    </row>
    <row r="521">
      <c r="A521" t="inlineStr"/>
      <c r="B521" t="inlineStr"/>
      <c r="C521" t="inlineStr">
        <is>
          <t>KNIT SHIRTS</t>
        </is>
      </c>
      <c r="D521">
        <f>U521</f>
        <v/>
      </c>
      <c r="E521" t="n">
        <v>1104941</v>
      </c>
      <c r="F521" t="inlineStr">
        <is>
          <t>WICKRON ZEO LONG SLEEVE ZIP SHIRT WOMEN'S</t>
        </is>
      </c>
      <c r="G521" t="inlineStr">
        <is>
          <t>CHGY      LBL      PU      WT23</t>
        </is>
      </c>
      <c r="H521" t="inlineStr">
        <is>
          <t>CHGY      PU</t>
        </is>
      </c>
      <c r="I521">
        <f>VLOOKUP(H521,[1]尺寸簡表!$C$3:$D$1263,2,0)</f>
        <v/>
      </c>
      <c r="J521" t="n">
        <v>1590</v>
      </c>
      <c r="K521" t="inlineStr">
        <is>
          <t>◎ wickron®ZEO布料除了有良好的排汗透氣及抗臭機能，其立體編織具有保溫性。
◎ UV CUT素材可遮蔽90%紫外線。
◎ 袖口專利螺紋立體剪裁，服貼腕部，增加活動的舒適性。</t>
        </is>
      </c>
    </row>
    <row r="522">
      <c r="A522" t="inlineStr"/>
      <c r="B522" t="inlineStr"/>
      <c r="C522" t="inlineStr">
        <is>
          <t>KNIT SHIRTS</t>
        </is>
      </c>
      <c r="D522">
        <f>U522</f>
        <v/>
      </c>
      <c r="E522" t="n">
        <v>1114608</v>
      </c>
      <c r="F522" t="inlineStr">
        <is>
          <t>WICKRON ZEO THERMAL JACKET MEN'S</t>
        </is>
      </c>
      <c r="G522" t="inlineStr">
        <is>
          <t>BK      DGY      OG</t>
        </is>
      </c>
      <c r="H522" t="inlineStr">
        <is>
          <t>DGY</t>
        </is>
      </c>
      <c r="I522">
        <f>VLOOKUP(H522,[1]尺寸簡表!$C$3:$D$1263,2,0)</f>
        <v/>
      </c>
      <c r="J522" t="n">
        <v>2590</v>
      </c>
      <c r="K522" t="inlineStr">
        <is>
          <t>◎ wickron®ZEO布料除了有良好的排汗透氣及抗臭機能，其立體編織具有保溫性。
◎ UV CUT素材可遮蔽90%紫外線。
◎ 袖口專利螺紋立體剪裁，服貼腕部，增加活動的舒適性。</t>
        </is>
      </c>
    </row>
    <row r="523">
      <c r="A523" t="inlineStr"/>
      <c r="B523" t="inlineStr"/>
      <c r="C523" t="inlineStr">
        <is>
          <t>KNIT SHIRTS</t>
        </is>
      </c>
      <c r="D523">
        <f>U523</f>
        <v/>
      </c>
      <c r="E523" t="n">
        <v>1114609</v>
      </c>
      <c r="F523" t="inlineStr">
        <is>
          <t>WICKRON ZEO THERMAL JACKET WOMEN'S</t>
        </is>
      </c>
      <c r="G523" t="inlineStr">
        <is>
          <t>BGY      BK      IV</t>
        </is>
      </c>
      <c r="H523" t="inlineStr">
        <is>
          <t>IV</t>
        </is>
      </c>
      <c r="I523">
        <f>VLOOKUP(H523,[1]尺寸簡表!$C$3:$D$1263,2,0)</f>
        <v/>
      </c>
      <c r="J523" t="n">
        <v>2520</v>
      </c>
      <c r="K523" t="inlineStr">
        <is>
          <t>◎ wickron®ZEO布料除了有良好的排汗透氣及抗臭機能，其立體編織具有保溫性。
◎ UV CUT素材可遮蔽90%紫外線。
◎ 袖口專利螺紋立體剪裁，服貼腕部，增加活動的舒適性。</t>
        </is>
      </c>
    </row>
    <row r="524">
      <c r="A524" t="inlineStr"/>
      <c r="B524" t="inlineStr"/>
      <c r="C524" t="inlineStr">
        <is>
          <t>KNIT SHIRTS</t>
        </is>
      </c>
      <c r="D524">
        <f>U524</f>
        <v/>
      </c>
      <c r="E524" t="n">
        <v>1114610</v>
      </c>
      <c r="F524" t="inlineStr">
        <is>
          <t>WICKRON ZEO THERMAL LONG SLEEVE ZIP SHIRT MEN'S</t>
        </is>
      </c>
      <c r="G524" t="inlineStr">
        <is>
          <t>CN      DGY      LGY      NV      OG1</t>
        </is>
      </c>
      <c r="H524" t="inlineStr">
        <is>
          <t>OG1</t>
        </is>
      </c>
      <c r="I524">
        <f>VLOOKUP(H524,[1]尺寸簡表!$C$3:$D$1263,2,0)</f>
        <v/>
      </c>
      <c r="J524" t="n">
        <v>2410</v>
      </c>
      <c r="K524" t="inlineStr">
        <is>
          <t>◎ wickron®ZEO布料除了有良好的排汗透氣及抗臭機能，其立體編織具有保溫性。
◎ UV CUT素材可遮蔽90%紫外線。
◎ 袖口專利螺紋立體剪裁，服貼腕部，增加活動的舒適性。</t>
        </is>
      </c>
    </row>
    <row r="525">
      <c r="A525" t="inlineStr"/>
      <c r="B525" t="inlineStr"/>
      <c r="C525" t="inlineStr">
        <is>
          <t>KNIT SHIRTS</t>
        </is>
      </c>
      <c r="D525">
        <f>U525</f>
        <v/>
      </c>
      <c r="E525" t="n">
        <v>1114611</v>
      </c>
      <c r="F525" t="inlineStr">
        <is>
          <t>WICKRON ZEO THERMAL LONG SLEEVE ZIP SHIRT WOMEN'S</t>
        </is>
      </c>
      <c r="G525" t="inlineStr">
        <is>
          <t>BK      IV      LV</t>
        </is>
      </c>
      <c r="H525" t="inlineStr">
        <is>
          <t>IV</t>
        </is>
      </c>
      <c r="I525">
        <f>VLOOKUP(H525,[1]尺寸簡表!$C$3:$D$1263,2,0)</f>
        <v/>
      </c>
      <c r="J525" t="n">
        <v>2340</v>
      </c>
      <c r="K525" t="inlineStr">
        <is>
          <t>◎ wickron®ZEO布料除了有良好的排汗透氣及抗臭機能，其立體編織具有保溫性。
◎ UV CUT素材可遮蔽90%紫外線。
◎ 袖口專利螺紋立體剪裁，服貼腕部，增加活動的舒適性。</t>
        </is>
      </c>
    </row>
    <row r="526">
      <c r="A526" t="inlineStr"/>
      <c r="B526" t="inlineStr"/>
      <c r="C526" t="inlineStr">
        <is>
          <t>PANTS</t>
        </is>
      </c>
      <c r="D526">
        <f>U526</f>
        <v/>
      </c>
      <c r="E526" t="n">
        <v>1109232</v>
      </c>
      <c r="F526" t="inlineStr">
        <is>
          <t>ALUMINUM BUCKLE WEB BELT</t>
        </is>
      </c>
      <c r="G526" t="inlineStr">
        <is>
          <t>#1      #2      #3      #4      #5      #6</t>
        </is>
      </c>
      <c r="J526" t="n">
        <v>880</v>
      </c>
      <c r="K526" t="inlineStr">
        <is>
          <t>◎ 建議腰圍100cm以內使用。
◎ 聚丙烯+鋁合金扣環。腰帶寬度30mm。</t>
        </is>
      </c>
    </row>
    <row r="527">
      <c r="A527" t="inlineStr"/>
      <c r="B527" t="inlineStr"/>
      <c r="C527" t="inlineStr">
        <is>
          <t>PANTS</t>
        </is>
      </c>
      <c r="D527">
        <f>U527</f>
        <v/>
      </c>
      <c r="E527" t="n">
        <v>1105755</v>
      </c>
      <c r="F527" t="inlineStr">
        <is>
          <t>CLIFF HALF-LEG SHELL PANTS MEN'S</t>
        </is>
      </c>
      <c r="G527" t="inlineStr">
        <is>
          <t>BGN      DGY</t>
        </is>
      </c>
      <c r="H527" t="inlineStr">
        <is>
          <t>DGY</t>
        </is>
      </c>
      <c r="I527">
        <f>VLOOKUP(H527,[1]尺寸簡表!$C$3:$D$1263,2,0)</f>
        <v/>
      </c>
      <c r="J527" t="n">
        <v>5220</v>
      </c>
      <c r="K527" t="inlineStr">
        <is>
          <t>◎ 腰部至膝上：尼龍95% + 聚氨酯5%（撥水加工）、膝蓋以下：(SUPER) DRYTEC® (表布：尼龍85% + 聚氨酯15% 、內裡：聚酯纖維100%)
◎ 中厚手，一般版型，錐形褲型。</t>
        </is>
      </c>
    </row>
    <row r="528">
      <c r="A528" t="inlineStr"/>
      <c r="B528" t="inlineStr"/>
      <c r="C528" t="inlineStr">
        <is>
          <t>PANTS</t>
        </is>
      </c>
      <c r="D528">
        <f>U528</f>
        <v/>
      </c>
      <c r="E528" t="n">
        <v>1105756</v>
      </c>
      <c r="F528" t="inlineStr">
        <is>
          <t>CLIFF HALF-LEG SHELL PANTS WOMEN'S</t>
        </is>
      </c>
      <c r="G528" t="inlineStr">
        <is>
          <t>BGN      DGY</t>
        </is>
      </c>
      <c r="H528" t="inlineStr">
        <is>
          <t>BGN</t>
        </is>
      </c>
      <c r="I528">
        <f>VLOOKUP(H528,[1]尺寸簡表!$C$3:$D$1263,2,0)</f>
        <v/>
      </c>
      <c r="J528" t="n">
        <v>4860</v>
      </c>
      <c r="K528" t="inlineStr">
        <is>
          <t>◎ 腰部至膝上：尼龍95% + 聚氨酯5%（撥水加工）、膝蓋以下：(SUPER) DRYTEC® (表布：尼龍85% + 聚氨酯15% 、內裡：聚酯纖維100%)
◎ 中厚手，一般版型，錐形褲型。</t>
        </is>
      </c>
    </row>
    <row r="529">
      <c r="A529" t="inlineStr"/>
      <c r="B529" t="inlineStr"/>
      <c r="C529" t="inlineStr">
        <is>
          <t>PANTS</t>
        </is>
      </c>
      <c r="D529">
        <f>U529</f>
        <v/>
      </c>
      <c r="E529" t="n">
        <v>1105681</v>
      </c>
      <c r="F529" t="inlineStr">
        <is>
          <t>CLIFF PANTS MEN'S</t>
        </is>
      </c>
      <c r="G529" t="inlineStr">
        <is>
          <t>BN      DGY      NV</t>
        </is>
      </c>
      <c r="H529" t="inlineStr">
        <is>
          <t>DGY</t>
        </is>
      </c>
      <c r="I529">
        <f>VLOOKUP(H529,[1]尺寸簡表!$C$3:$D$1263,2,0)</f>
        <v/>
      </c>
      <c r="J529" t="n">
        <v>3800</v>
      </c>
      <c r="K529" t="inlineStr">
        <is>
          <t>◎ 材質：尼龍95％+聚氨酯纖維5％（撥水加工）、中厚手、彈性抗磨損，彈性布料、中腰合身版型。</t>
        </is>
      </c>
    </row>
    <row r="530">
      <c r="A530" t="inlineStr"/>
      <c r="B530" t="inlineStr"/>
      <c r="C530" t="inlineStr">
        <is>
          <t>PANTS</t>
        </is>
      </c>
      <c r="D530">
        <f>U530</f>
        <v/>
      </c>
      <c r="E530" t="n">
        <v>1105682</v>
      </c>
      <c r="F530" t="inlineStr">
        <is>
          <t>CLIFF PANTS WOMEN'S</t>
        </is>
      </c>
      <c r="G530" t="inlineStr">
        <is>
          <t>BK24      LGY      NV</t>
        </is>
      </c>
      <c r="H530" t="inlineStr">
        <is>
          <t>BK24</t>
        </is>
      </c>
      <c r="I530">
        <f>VLOOKUP(H530,[1]尺寸簡表!$C$3:$D$1263,2,0)</f>
        <v/>
      </c>
      <c r="J530" t="n">
        <v>3600</v>
      </c>
      <c r="K530" t="inlineStr">
        <is>
          <t>◎ 材質：尼龍95％+聚氨酯纖維5％（撥水加工）、中厚手、彈性抗磨損，彈性布料、中腰合身版型。</t>
        </is>
      </c>
    </row>
    <row r="531">
      <c r="A531" t="inlineStr"/>
      <c r="B531" t="inlineStr"/>
      <c r="C531" t="inlineStr">
        <is>
          <t>PANTS</t>
        </is>
      </c>
      <c r="D531">
        <f>U531</f>
        <v/>
      </c>
      <c r="E531" t="n">
        <v>1105821</v>
      </c>
      <c r="F531" t="inlineStr">
        <is>
          <t>CLIFF THERMAL PANTS MEN'S</t>
        </is>
      </c>
      <c r="G531" t="inlineStr">
        <is>
          <t>BK      OG      TN</t>
        </is>
      </c>
      <c r="H531" t="inlineStr">
        <is>
          <t>OG</t>
        </is>
      </c>
      <c r="I531">
        <f>VLOOKUP(H531,[1]尺寸簡表!$C$3:$D$1263,2,0)</f>
        <v/>
      </c>
      <c r="J531" t="n">
        <v>4200</v>
      </c>
      <c r="K531" t="inlineStr">
        <is>
          <t>◎ 材質：尼龍42％（撥水加工）+聚酯纖維49％+聚氨酯9%、厚手內裡薄刷毛、中腰合身版型。</t>
        </is>
      </c>
    </row>
    <row r="532">
      <c r="A532" t="inlineStr"/>
      <c r="B532" t="inlineStr"/>
      <c r="C532" t="inlineStr">
        <is>
          <t>PANTS</t>
        </is>
      </c>
      <c r="D532">
        <f>U532</f>
        <v/>
      </c>
      <c r="E532" t="n">
        <v>1105822</v>
      </c>
      <c r="F532" t="inlineStr">
        <is>
          <t>CLIFF THERMAL PANTS WOMEN'S</t>
        </is>
      </c>
      <c r="G532" t="inlineStr">
        <is>
          <t>BGN      BK      TN</t>
        </is>
      </c>
      <c r="H532" t="inlineStr">
        <is>
          <t>BGN</t>
        </is>
      </c>
      <c r="I532">
        <f>VLOOKUP(H532,[1]尺寸簡表!$C$3:$D$1263,2,0)</f>
        <v/>
      </c>
      <c r="J532" t="n">
        <v>3910</v>
      </c>
      <c r="K532" t="inlineStr">
        <is>
          <t>◎ 材質：尼龍42％（撥水加工）+聚酯纖維49％+聚氨酯9%、厚手內裡薄刷毛、中腰合身版型。</t>
        </is>
      </c>
    </row>
    <row r="533">
      <c r="A533" t="inlineStr"/>
      <c r="B533" t="inlineStr"/>
      <c r="C533" t="inlineStr">
        <is>
          <t>PANTS</t>
        </is>
      </c>
      <c r="D533">
        <f>U533</f>
        <v/>
      </c>
      <c r="E533" t="n">
        <v>1105685</v>
      </c>
      <c r="F533" t="inlineStr">
        <is>
          <t>GUIDE PANTS MEN'S</t>
        </is>
      </c>
      <c r="G533" t="inlineStr">
        <is>
          <t>DGY      KH      NV</t>
        </is>
      </c>
      <c r="H533" t="inlineStr">
        <is>
          <t>DGY</t>
        </is>
      </c>
      <c r="I533">
        <f>VLOOKUP(H533,[1]尺寸簡表!$C$3:$D$1263,2,0)</f>
        <v/>
      </c>
      <c r="J533" t="n">
        <v>3720</v>
      </c>
      <c r="K533" t="inlineStr">
        <is>
          <t>◎ 主體：彈性聚酯纖維100%（撥水加工）。臀部、膝蓋：彈性抗撕裂尼龍布95%+聚氨酯5%（撥水加工）。中腰合身版型，中厚手。</t>
        </is>
      </c>
    </row>
    <row r="534">
      <c r="A534" t="inlineStr"/>
      <c r="B534" t="inlineStr"/>
      <c r="C534" t="inlineStr">
        <is>
          <t>PANTS</t>
        </is>
      </c>
      <c r="D534">
        <f>U534</f>
        <v/>
      </c>
      <c r="E534" t="n">
        <v>1105686</v>
      </c>
      <c r="F534" t="inlineStr">
        <is>
          <t>GUIDE PANTS WOMEN'S</t>
        </is>
      </c>
      <c r="G534" t="inlineStr">
        <is>
          <t>BK24      LGY      NV</t>
        </is>
      </c>
      <c r="H534" t="inlineStr">
        <is>
          <t>LGY</t>
        </is>
      </c>
      <c r="I534">
        <f>VLOOKUP(H534,[1]尺寸簡表!$C$3:$D$1263,2,0)</f>
        <v/>
      </c>
      <c r="J534" t="n">
        <v>3640</v>
      </c>
      <c r="K534" t="inlineStr">
        <is>
          <t>◎ 主體：彈性聚酯纖維100%（撥水加工）。臀部、膝蓋：彈性抗撕裂尼龍布95%+聚氨酯5%（撥水加工）。中腰合身版型，中厚手。</t>
        </is>
      </c>
    </row>
    <row r="535">
      <c r="A535" t="inlineStr"/>
      <c r="B535" t="inlineStr"/>
      <c r="C535" t="inlineStr">
        <is>
          <t>PANTS</t>
        </is>
      </c>
      <c r="D535">
        <f>U535</f>
        <v/>
      </c>
      <c r="E535" t="n">
        <v>1105819</v>
      </c>
      <c r="F535" t="inlineStr">
        <is>
          <t>GUIDE THERMAL PANTS MEN'S</t>
        </is>
      </c>
      <c r="G535" t="inlineStr">
        <is>
          <t>BGN      DGY      KH</t>
        </is>
      </c>
      <c r="H535" t="inlineStr">
        <is>
          <t>BGN</t>
        </is>
      </c>
      <c r="I535">
        <f>VLOOKUP(H535,[1]尺寸簡表!$C$3:$D$1263,2,0)</f>
        <v/>
      </c>
      <c r="J535" t="n">
        <v>4140</v>
      </c>
      <c r="K535" t="inlineStr">
        <is>
          <t>◎ 材質：尼龍42％（撥水加工）+聚酯纖維49％+聚氨酯9%、厚手內裡薄刷毛、中腰合身版型。</t>
        </is>
      </c>
    </row>
    <row r="536">
      <c r="A536" t="inlineStr"/>
      <c r="B536" t="inlineStr"/>
      <c r="C536" t="inlineStr">
        <is>
          <t>PANTS</t>
        </is>
      </c>
      <c r="D536">
        <f>U536</f>
        <v/>
      </c>
      <c r="E536" t="n">
        <v>1105820</v>
      </c>
      <c r="F536" t="inlineStr">
        <is>
          <t>GUIDE THERMAL PANTS WOMEN'S</t>
        </is>
      </c>
      <c r="G536" t="inlineStr">
        <is>
          <t>DGY      TN</t>
        </is>
      </c>
      <c r="H536" t="inlineStr">
        <is>
          <t>TN</t>
        </is>
      </c>
      <c r="I536">
        <f>VLOOKUP(H536,[1]尺寸簡表!$C$3:$D$1263,2,0)</f>
        <v/>
      </c>
      <c r="J536" t="n">
        <v>3850</v>
      </c>
      <c r="K536" t="inlineStr">
        <is>
          <t>◎ 材質：尼龍42％（撥水加工）+聚酯纖維49％+聚氨酯9%、厚手內裡薄刷毛、中腰合身版型。</t>
        </is>
      </c>
    </row>
    <row r="537">
      <c r="A537" t="inlineStr"/>
      <c r="B537" t="inlineStr"/>
      <c r="C537" t="inlineStr">
        <is>
          <t>PANTS</t>
        </is>
      </c>
      <c r="D537">
        <f>U537</f>
        <v/>
      </c>
      <c r="E537" t="n">
        <v>1105707</v>
      </c>
      <c r="F537" t="inlineStr">
        <is>
          <t>LINED O.D. PANTS MEN'S</t>
        </is>
      </c>
      <c r="G537" t="inlineStr">
        <is>
          <t>DGN      DGY      TN</t>
        </is>
      </c>
      <c r="H537" t="inlineStr">
        <is>
          <t>TN</t>
        </is>
      </c>
      <c r="I537">
        <f>VLOOKUP(H537,[1]尺寸簡表!$C$3:$D$1263,2,0)</f>
        <v/>
      </c>
      <c r="J537" t="n">
        <v>3080</v>
      </c>
      <c r="K537" t="inlineStr">
        <is>
          <t>◎ 主體：抗撕裂尼龍布94%+聚氨酯6%（撥水加工）、中腰直筒版型，厚手，聚酯纖維內裡。
◎ 單向彈性，內建腰帶，前面兩口袋+臀部一拉鍊口袋。</t>
        </is>
      </c>
    </row>
    <row r="538">
      <c r="A538" t="inlineStr"/>
      <c r="B538" t="inlineStr"/>
      <c r="C538" t="inlineStr">
        <is>
          <t>PANTS</t>
        </is>
      </c>
      <c r="D538">
        <f>U538</f>
        <v/>
      </c>
      <c r="E538" t="n">
        <v>1105708</v>
      </c>
      <c r="F538" t="inlineStr">
        <is>
          <t>LINED O.D. PANTS WOMEN'S</t>
        </is>
      </c>
      <c r="G538" t="inlineStr">
        <is>
          <t>DGN      DGY      NV</t>
        </is>
      </c>
      <c r="H538" t="inlineStr">
        <is>
          <t>DGY</t>
        </is>
      </c>
      <c r="I538">
        <f>VLOOKUP(H538,[1]尺寸簡表!$C$3:$D$1263,2,0)</f>
        <v/>
      </c>
      <c r="J538" t="n">
        <v>2980</v>
      </c>
      <c r="K538" t="inlineStr">
        <is>
          <t>◎ 主體：抗撕裂尼龍布94%+聚氨酯6%（撥水加工）、中腰直筒版型，厚手，聚酯纖維內裡。
◎ 單向彈性，具腰帶環，前面兩口袋+臀部一拉鍊口袋。</t>
        </is>
      </c>
    </row>
    <row r="539">
      <c r="A539" t="inlineStr"/>
      <c r="B539" t="inlineStr"/>
      <c r="C539" t="inlineStr">
        <is>
          <t>PANTS</t>
        </is>
      </c>
      <c r="D539">
        <f>U539</f>
        <v/>
      </c>
      <c r="E539" t="n">
        <v>1105692</v>
      </c>
      <c r="F539" t="inlineStr">
        <is>
          <t>LINED SOUTH RIM PANTS MEN'S</t>
        </is>
      </c>
      <c r="G539" t="inlineStr">
        <is>
          <t>BKOV      GM</t>
        </is>
      </c>
      <c r="H539" t="inlineStr">
        <is>
          <t>GM</t>
        </is>
      </c>
      <c r="I539">
        <f>VLOOKUP(H539,[1]尺寸簡表!$C$3:$D$1263,2,0)</f>
        <v/>
      </c>
      <c r="J539" t="n">
        <v>3780</v>
      </c>
      <c r="K539" t="inlineStr">
        <is>
          <t>◎ 材質：抗磨損彈性尼龍94％+聚氨酯纖維6％。厚手、中腰、一般版型，臀部二重補強。</t>
        </is>
      </c>
    </row>
    <row r="540">
      <c r="A540" t="inlineStr"/>
      <c r="B540" t="inlineStr"/>
      <c r="C540" t="inlineStr">
        <is>
          <t>PANTS</t>
        </is>
      </c>
      <c r="D540">
        <f>U540</f>
        <v/>
      </c>
      <c r="E540" t="n">
        <v>1105693</v>
      </c>
      <c r="F540" t="inlineStr">
        <is>
          <t>LINED SOUTH RIM PANTS WOMEN'S</t>
        </is>
      </c>
      <c r="G540" t="inlineStr">
        <is>
          <t>BKOV      DKNV</t>
        </is>
      </c>
      <c r="H540" t="inlineStr">
        <is>
          <t>DKNV</t>
        </is>
      </c>
      <c r="I540">
        <f>VLOOKUP(H540,[1]尺寸簡表!$C$3:$D$1263,2,0)</f>
        <v/>
      </c>
      <c r="J540" t="n">
        <v>3680</v>
      </c>
      <c r="K540" t="inlineStr">
        <is>
          <t>◎ 材質：抗磨損彈性尼龍94％+聚氨酯纖維6％。厚手、中腰、一般版型，臀部二重補強。</t>
        </is>
      </c>
    </row>
    <row r="541">
      <c r="A541" t="inlineStr"/>
      <c r="B541" t="inlineStr"/>
      <c r="C541" t="inlineStr">
        <is>
          <t>PANTS</t>
        </is>
      </c>
      <c r="D541">
        <f>U541</f>
        <v/>
      </c>
      <c r="E541" t="n">
        <v>1105753</v>
      </c>
      <c r="F541" t="inlineStr">
        <is>
          <t>MULTIUSE TROUSERS MEN'S</t>
        </is>
      </c>
      <c r="G541" t="inlineStr">
        <is>
          <t>BK      NV</t>
        </is>
      </c>
      <c r="H541" t="inlineStr">
        <is>
          <t>NV</t>
        </is>
      </c>
      <c r="I541">
        <f>VLOOKUP(H541,[1]尺寸簡表!$C$3:$D$1263,2,0)</f>
        <v/>
      </c>
      <c r="J541" t="n">
        <v>5760</v>
      </c>
      <c r="K541" t="inlineStr">
        <is>
          <t>◎ 材質：尼龍85%+聚氨酯15%，(SUPER) DRYTEC 2L（耐水壓20,000mm，透氣度30,000g/㎡）、內裡：聚酯纖維100%。
◎ 四向彈性、防水透氣的多功能長褲。</t>
        </is>
      </c>
    </row>
    <row r="542">
      <c r="A542" t="inlineStr"/>
      <c r="B542" t="inlineStr"/>
      <c r="C542" t="inlineStr">
        <is>
          <t>PANTS</t>
        </is>
      </c>
      <c r="D542">
        <f>U542</f>
        <v/>
      </c>
      <c r="E542" t="n">
        <v>1105754</v>
      </c>
      <c r="F542" t="inlineStr">
        <is>
          <t>MULTIUSE TROUSERS WOMEN'S</t>
        </is>
      </c>
      <c r="G542" t="inlineStr">
        <is>
          <t>BK      NV</t>
        </is>
      </c>
      <c r="H542" t="inlineStr">
        <is>
          <t>NV</t>
        </is>
      </c>
      <c r="I542">
        <f>VLOOKUP(H542,[1]尺寸簡表!$C$3:$D$1263,2,0)</f>
        <v/>
      </c>
      <c r="J542" t="n">
        <v>5400</v>
      </c>
      <c r="K542" t="inlineStr">
        <is>
          <t>◎ 材質：尼龍85%+聚氨酯15%，(SUPER) DRYTEC 2L（耐水壓20,000mm，透氣度30,000g/㎡）、內裡：聚酯纖維100%。
◎ 四向彈性、防水透氣的多功能長褲。</t>
        </is>
      </c>
    </row>
    <row r="543">
      <c r="A543" t="inlineStr">
        <is>
          <t>26FW</t>
        </is>
      </c>
      <c r="B543" t="inlineStr">
        <is>
          <t>26FW</t>
        </is>
      </c>
      <c r="C543" t="inlineStr">
        <is>
          <t>PANTS</t>
        </is>
      </c>
      <c r="D543">
        <f>U543</f>
        <v/>
      </c>
      <c r="E543" t="n">
        <v>1105813</v>
      </c>
      <c r="F543" t="inlineStr">
        <is>
          <t>O.D. INSULATED PANTS MEN'S</t>
        </is>
      </c>
      <c r="G543" t="inlineStr">
        <is>
          <t>BK      DGN</t>
        </is>
      </c>
      <c r="I543">
        <f>VLOOKUP(H543,[1]尺寸簡表!$C$3:$D$1263,2,0)</f>
        <v/>
      </c>
      <c r="J543" t="n">
        <v>4380</v>
      </c>
      <c r="K543" t="inlineStr">
        <is>
          <t>◎ 94%尼龍＋6%聚氨酯／抗撕裂布（撥水加工），內裡：STRETCH EXCELOFT®彈性保暖纖維＋刷毛布料。不含PFAS。
◎ 雙向彈性、標準剪裁、直筒褲管、易調式腰帶及前置拉鍊設計。</t>
        </is>
      </c>
    </row>
    <row r="544">
      <c r="A544" t="inlineStr">
        <is>
          <t>26FW</t>
        </is>
      </c>
      <c r="B544" t="inlineStr">
        <is>
          <t>26FW</t>
        </is>
      </c>
      <c r="C544" t="inlineStr">
        <is>
          <t>PANTS</t>
        </is>
      </c>
      <c r="D544">
        <f>U544</f>
        <v/>
      </c>
      <c r="E544" t="n">
        <v>1105815</v>
      </c>
      <c r="F544" t="inlineStr">
        <is>
          <t>O.D. INSULATED PANTS W/ BELT LOOPS MEN'S</t>
        </is>
      </c>
      <c r="G544" t="inlineStr">
        <is>
          <t>DGY      NV</t>
        </is>
      </c>
      <c r="H544" t="inlineStr">
        <is>
          <t>NV</t>
        </is>
      </c>
      <c r="I544">
        <f>VLOOKUP(H544,[1]尺寸簡表!$C$3:$D$1263,2,0)</f>
        <v/>
      </c>
      <c r="J544" t="n">
        <v>4200</v>
      </c>
      <c r="K544" t="inlineStr">
        <is>
          <t>◎ 94%尼龍＋6%聚氨酯／抗撕裂布（撥水加工），內裡：STRETCH EXCELOFT®彈性保暖纖維＋刷毛布料。不含PFAS。
◎ 雙向彈性、標準剪裁、直筒褲管、易調式腰帶及前置拉鍊設計。</t>
        </is>
      </c>
    </row>
    <row r="545">
      <c r="A545" t="inlineStr">
        <is>
          <t>26FW</t>
        </is>
      </c>
      <c r="B545" t="inlineStr">
        <is>
          <t>26FW</t>
        </is>
      </c>
      <c r="C545" t="inlineStr">
        <is>
          <t>PANTS</t>
        </is>
      </c>
      <c r="D545">
        <f>U545</f>
        <v/>
      </c>
      <c r="E545" t="n">
        <v>1105814</v>
      </c>
      <c r="F545" t="inlineStr">
        <is>
          <t>O.D. INSULATED PANTS WOMEN'S</t>
        </is>
      </c>
      <c r="G545" t="inlineStr">
        <is>
          <t>BK      DBN      NV</t>
        </is>
      </c>
      <c r="I545">
        <f>VLOOKUP(H545,[1]尺寸簡表!$C$3:$D$1263,2,0)</f>
        <v/>
      </c>
      <c r="J545" t="n">
        <v>4270</v>
      </c>
      <c r="K545" t="inlineStr">
        <is>
          <t xml:space="preserve">◎ 94%尼龍＋6%聚氨酯／抗撕裂布（撥水加工），內裡：STRETCH EXCELOFT®彈性保暖纖維＋刷毛布料。不含PFAS。
◎ 雙向彈性、標準剪裁、直筒褲管、易調式腰帶及前置拉鍊設計。外層布料包覆至褲管下襬內側，讓修改褲長及車縫更加容易。 </t>
        </is>
      </c>
    </row>
    <row r="546">
      <c r="A546" t="inlineStr"/>
      <c r="B546" t="inlineStr"/>
      <c r="C546" t="inlineStr">
        <is>
          <t>PANTS</t>
        </is>
      </c>
      <c r="D546">
        <f>U546</f>
        <v/>
      </c>
      <c r="E546" t="n">
        <v>1105817</v>
      </c>
      <c r="F546" t="inlineStr">
        <is>
          <t>O.D. LINED PANTS W/ BELT LOOPS MEN'S</t>
        </is>
      </c>
      <c r="G546" t="inlineStr">
        <is>
          <t>DGY      TN</t>
        </is>
      </c>
      <c r="H546" t="inlineStr">
        <is>
          <t>TN</t>
        </is>
      </c>
      <c r="I546">
        <f>VLOOKUP(H546,[1]尺寸簡表!$C$3:$D$1263,2,0)</f>
        <v/>
      </c>
      <c r="J546" t="n">
        <v>3500</v>
      </c>
      <c r="K546" t="inlineStr">
        <is>
          <t>◎ 材質：尼龍42％（撥水加工）+聚酯纖維49％+聚氨酯9%、中腰直筒版型，厚手，聚酯纖維內裡。
◎ 單向彈性，具腰帶環，前面兩口袋+臀部一拉鍊口袋。</t>
        </is>
      </c>
    </row>
    <row r="547">
      <c r="A547" t="inlineStr"/>
      <c r="B547" t="inlineStr"/>
      <c r="C547" t="inlineStr">
        <is>
          <t>PANTS</t>
        </is>
      </c>
      <c r="D547">
        <f>U547</f>
        <v/>
      </c>
      <c r="E547" t="n">
        <v>1105818</v>
      </c>
      <c r="F547" t="inlineStr">
        <is>
          <t>O.D. LINED PANTS W/ BELT LOOPS WOMEN'S</t>
        </is>
      </c>
      <c r="G547" t="inlineStr">
        <is>
          <t>NV      TN</t>
        </is>
      </c>
      <c r="H547" t="inlineStr">
        <is>
          <t>NV</t>
        </is>
      </c>
      <c r="I547">
        <f>VLOOKUP(H547,[1]尺寸簡表!$C$3:$D$1263,2,0)</f>
        <v/>
      </c>
      <c r="J547" t="n">
        <v>3400</v>
      </c>
      <c r="K547" t="inlineStr">
        <is>
          <t>◎ 材質：尼龍42％（撥水加工）+聚酯纖維49％+聚氨酯9%、中腰直筒版型，厚手，聚酯纖維內裡。
◎ 單向彈性，具腰帶環，前面兩口袋+臀部一拉鍊口袋。</t>
        </is>
      </c>
    </row>
    <row r="548">
      <c r="A548" t="inlineStr"/>
      <c r="B548" t="inlineStr"/>
      <c r="C548" t="inlineStr">
        <is>
          <t>PANTS</t>
        </is>
      </c>
      <c r="D548">
        <f>U548</f>
        <v/>
      </c>
      <c r="E548" t="n">
        <v>1105673</v>
      </c>
      <c r="F548" t="inlineStr">
        <is>
          <t>O.D. PANTS MEN'S</t>
        </is>
      </c>
      <c r="G548" t="inlineStr">
        <is>
          <t>DKCH      DKTL      TN</t>
        </is>
      </c>
      <c r="H548" t="inlineStr">
        <is>
          <t>DKCH</t>
        </is>
      </c>
      <c r="I548">
        <f>VLOOKUP(H548,[1]尺寸簡表!$C$3:$D$1263,2,0)</f>
        <v/>
      </c>
      <c r="J548" t="n">
        <v>3000</v>
      </c>
      <c r="K548" t="inlineStr">
        <is>
          <t>◎ 材質：聚酯纖維100%（撥水加工）、直筒中腰版型，中厚手布料。
◎ 內建腰帶，前面兩拉鍊口袋+臀部及大腿側各一個拉鍊口袋。</t>
        </is>
      </c>
    </row>
    <row r="549">
      <c r="A549" t="inlineStr"/>
      <c r="B549" t="inlineStr"/>
      <c r="C549" t="inlineStr">
        <is>
          <t>PANTS</t>
        </is>
      </c>
      <c r="D549">
        <f>U549</f>
        <v/>
      </c>
      <c r="E549" t="n">
        <v>1105809</v>
      </c>
      <c r="F549" t="inlineStr">
        <is>
          <t>O.D. PANTS W/ BELT LOOPS MEN'S</t>
        </is>
      </c>
      <c r="G549" t="inlineStr">
        <is>
          <t>DGY      NV      TN</t>
        </is>
      </c>
      <c r="H549" t="inlineStr">
        <is>
          <t>NV</t>
        </is>
      </c>
      <c r="I549">
        <f>VLOOKUP(H549,[1]尺寸簡表!$C$3:$D$1263,2,0)</f>
        <v/>
      </c>
      <c r="J549" t="n">
        <v>2960</v>
      </c>
      <c r="K549" t="inlineStr">
        <is>
          <t>◎ 聚酯纖維100%（撥水加工）。標準合身版型，輕量、雙向彈性。</t>
        </is>
      </c>
    </row>
    <row r="550">
      <c r="A550" t="inlineStr"/>
      <c r="B550" t="inlineStr"/>
      <c r="C550" t="inlineStr">
        <is>
          <t>PANTS</t>
        </is>
      </c>
      <c r="D550">
        <f>U550</f>
        <v/>
      </c>
      <c r="E550" t="n">
        <v>1105810</v>
      </c>
      <c r="F550" t="inlineStr">
        <is>
          <t>O.D. PANTS W/ BELT LOOPS WOMEN'S</t>
        </is>
      </c>
      <c r="G550" t="inlineStr">
        <is>
          <t>BK      TN</t>
        </is>
      </c>
      <c r="H550" t="inlineStr">
        <is>
          <t>TN</t>
        </is>
      </c>
      <c r="I550">
        <f>VLOOKUP(H550,[1]尺寸簡表!$C$3:$D$1263,2,0)</f>
        <v/>
      </c>
      <c r="J550" t="n">
        <v>2800</v>
      </c>
      <c r="K550" t="inlineStr">
        <is>
          <t>◎ 聚酯纖維100%（撥水加工）。標準合身版型，輕量、雙向彈性。</t>
        </is>
      </c>
    </row>
    <row r="551">
      <c r="A551" t="inlineStr"/>
      <c r="B551" t="inlineStr"/>
      <c r="C551" t="inlineStr">
        <is>
          <t>PANTS</t>
        </is>
      </c>
      <c r="D551">
        <f>U551</f>
        <v/>
      </c>
      <c r="E551" t="n">
        <v>1105674</v>
      </c>
      <c r="F551" t="inlineStr">
        <is>
          <t>O.D. PANTS WOMEN'S</t>
        </is>
      </c>
      <c r="G551" t="inlineStr">
        <is>
          <t>DKCH      DKNV      OV</t>
        </is>
      </c>
      <c r="H551" t="inlineStr">
        <is>
          <t>DKNV</t>
        </is>
      </c>
      <c r="I551">
        <f>VLOOKUP(H551,[1]尺寸簡表!$C$3:$D$1263,2,0)</f>
        <v/>
      </c>
      <c r="J551" t="n">
        <v>2920</v>
      </c>
      <c r="K551" t="inlineStr">
        <is>
          <t>◎ 材質：聚酯纖維100%（撥水加工）、直筒中腰版型，中厚手布料。
◎ 內建腰帶，前面兩拉鍊口袋+臀部及大腿側各一個拉鍊口袋。</t>
        </is>
      </c>
    </row>
    <row r="552">
      <c r="A552" t="inlineStr"/>
      <c r="B552" t="inlineStr"/>
      <c r="C552" t="inlineStr">
        <is>
          <t>PANTS</t>
        </is>
      </c>
      <c r="D552">
        <f>U552</f>
        <v/>
      </c>
      <c r="E552" t="n">
        <v>1105811</v>
      </c>
      <c r="F552" t="inlineStr">
        <is>
          <t>O.D. THERMAL PANTS W/BELT LOOPS MEN'S</t>
        </is>
      </c>
      <c r="G552" t="inlineStr">
        <is>
          <t>DBN      DGY      TN</t>
        </is>
      </c>
      <c r="H552" t="inlineStr">
        <is>
          <t>DBN</t>
        </is>
      </c>
      <c r="I552">
        <f>VLOOKUP(H552,[1]尺寸簡表!$C$3:$D$1263,2,0)</f>
        <v/>
      </c>
      <c r="J552" t="n">
        <v>4010</v>
      </c>
      <c r="K552" t="inlineStr">
        <is>
          <t>◎ 主體：尼龍50%+聚酯纖維43%+聚氨酯7%（撥水加工）。
◎ 彈性尼龍表布（厚手），內裡短刷毛，具備良好的防風、撥水及保暖性。中腰直筒軟殼褲，一般版型。</t>
        </is>
      </c>
    </row>
    <row r="553">
      <c r="A553" t="inlineStr"/>
      <c r="B553" t="inlineStr"/>
      <c r="C553" t="inlineStr">
        <is>
          <t>PANTS</t>
        </is>
      </c>
      <c r="D553">
        <f>U553</f>
        <v/>
      </c>
      <c r="E553" t="n">
        <v>1105812</v>
      </c>
      <c r="F553" t="inlineStr">
        <is>
          <t>O.D. THERMAL PANTS W/BELT LOOPS WOMEN'S</t>
        </is>
      </c>
      <c r="G553" t="inlineStr">
        <is>
          <t>BK      TN</t>
        </is>
      </c>
      <c r="H553" t="inlineStr">
        <is>
          <t>TN</t>
        </is>
      </c>
      <c r="I553">
        <f>VLOOKUP(H553,[1]尺寸簡表!$C$3:$D$1263,2,0)</f>
        <v/>
      </c>
      <c r="J553" t="n">
        <v>3790</v>
      </c>
      <c r="K553" t="inlineStr">
        <is>
          <t>◎ 主體：尼龍50%+聚酯纖維43%+聚氨酯7%（撥水加工）。
◎ 彈性尼龍表布（厚手），內裡短刷毛，具備良好的防風、撥水及保暖性。中腰直筒軟殼褲，一般版型。</t>
        </is>
      </c>
    </row>
    <row r="554">
      <c r="A554" t="inlineStr"/>
      <c r="B554" t="inlineStr"/>
      <c r="C554" t="inlineStr">
        <is>
          <t>PANTS</t>
        </is>
      </c>
      <c r="D554">
        <f>U554</f>
        <v/>
      </c>
      <c r="E554" t="n">
        <v>1105677</v>
      </c>
      <c r="F554" t="inlineStr">
        <is>
          <t>SOUTH RIM PANTS MEN'S</t>
        </is>
      </c>
      <c r="G554" t="inlineStr">
        <is>
          <t>BK      DPFO      LTN</t>
        </is>
      </c>
      <c r="H554" t="inlineStr">
        <is>
          <t>LTN</t>
        </is>
      </c>
      <c r="I554">
        <f>VLOOKUP(H554,[1]尺寸簡表!$C$3:$D$1263,2,0)</f>
        <v/>
      </c>
      <c r="J554" t="n">
        <v>3540</v>
      </c>
      <c r="K554" t="inlineStr">
        <is>
          <t>◎ 材質：聚酯纖維100%（撥水加工）、直筒中腰版型，中厚手布料。
◎ 內建腰帶、臀部二重補強。</t>
        </is>
      </c>
    </row>
    <row r="555">
      <c r="A555" t="inlineStr"/>
      <c r="B555" t="inlineStr"/>
      <c r="C555" t="inlineStr">
        <is>
          <t>PANTS</t>
        </is>
      </c>
      <c r="D555">
        <f>U555</f>
        <v/>
      </c>
      <c r="E555" t="n">
        <v>1105678</v>
      </c>
      <c r="F555" t="inlineStr">
        <is>
          <t>SOUTH RIM PANTS WOMEN'S</t>
        </is>
      </c>
      <c r="G555" t="inlineStr">
        <is>
          <t>BKNV      BNSD      GRPH</t>
        </is>
      </c>
      <c r="I555">
        <f>VLOOKUP(H555,[1]尺寸簡表!$C$3:$D$1263,2,0)</f>
        <v/>
      </c>
      <c r="J555" t="n">
        <v>3460</v>
      </c>
      <c r="K555" t="inlineStr">
        <is>
          <t>◎ 材質：聚酯纖維100%（撥水加工）、直筒中腰版型，中厚手布料。
◎ 內建腰帶、臀部二重補強。</t>
        </is>
      </c>
    </row>
    <row r="556">
      <c r="A556" t="inlineStr"/>
      <c r="B556" t="inlineStr"/>
      <c r="C556" t="inlineStr">
        <is>
          <t>PANTS</t>
        </is>
      </c>
      <c r="D556">
        <f>U556</f>
        <v/>
      </c>
      <c r="E556" t="n">
        <v>1109233</v>
      </c>
      <c r="F556" t="inlineStr">
        <is>
          <t>STRETCH BELT</t>
        </is>
      </c>
      <c r="G556" t="inlineStr">
        <is>
          <t>#1      #2      #3      #4</t>
        </is>
      </c>
      <c r="H556" t="inlineStr">
        <is>
          <t>#1</t>
        </is>
      </c>
      <c r="J556" t="n">
        <v>860</v>
      </c>
      <c r="K556" t="inlineStr">
        <is>
          <t>◎ 建議腰圍100cm以內使用。
◎ 聚酯纖維+塑膠扣環。具有彈性的腰帶，腰帶寬度32mm。</t>
        </is>
      </c>
    </row>
    <row r="557">
      <c r="A557" t="inlineStr"/>
      <c r="B557" t="inlineStr"/>
      <c r="C557" t="inlineStr">
        <is>
          <t>PANTS</t>
        </is>
      </c>
      <c r="D557">
        <f>U557</f>
        <v/>
      </c>
      <c r="E557" t="n">
        <v>1109216</v>
      </c>
      <c r="F557" t="inlineStr">
        <is>
          <t>STRETCH BELT SLIM BUCKLE</t>
        </is>
      </c>
      <c r="G557" t="inlineStr">
        <is>
          <t>CHBK      OV      SLBL      THYM</t>
        </is>
      </c>
      <c r="H557" t="inlineStr">
        <is>
          <t>CHBK</t>
        </is>
      </c>
      <c r="I557">
        <f>VLOOKUP(H557,[1]尺寸簡表!$C$3:$D$1263,2,0)</f>
        <v/>
      </c>
      <c r="J557" t="n">
        <v>980</v>
      </c>
      <c r="K557" t="inlineStr">
        <is>
          <t>◎ 聚酯纖維+塑膠扣環。具有彈性的腰帶，腰帶寬度30mm。</t>
        </is>
      </c>
    </row>
    <row r="558">
      <c r="A558" t="inlineStr">
        <is>
          <t>26FW</t>
        </is>
      </c>
      <c r="B558" t="inlineStr">
        <is>
          <t>26FW</t>
        </is>
      </c>
      <c r="C558" t="inlineStr">
        <is>
          <t>PANTS</t>
        </is>
      </c>
      <c r="D558">
        <f>U558</f>
        <v/>
      </c>
      <c r="E558" t="n">
        <v>1105827</v>
      </c>
      <c r="F558" t="inlineStr">
        <is>
          <t>SUNNY SIDE PANTS MEN'S</t>
        </is>
      </c>
      <c r="G558" t="inlineStr">
        <is>
          <t>BL      DGN      TN</t>
        </is>
      </c>
      <c r="H558" t="inlineStr">
        <is>
          <t>DGN</t>
        </is>
      </c>
      <c r="I558">
        <f>VLOOKUP(H558,[1]尺寸簡表!$C$3:$D$1263,2,0)</f>
        <v/>
      </c>
      <c r="J558" t="n">
        <v>3180</v>
      </c>
      <c r="K558" t="inlineStr">
        <is>
          <t>◎ 聚酯纖維100%（撥水加工），不含PFAS。
◎ 中厚手，雙向彈性、寬鬆剪裁、直筒褲管及前置拉鍊設計。</t>
        </is>
      </c>
    </row>
    <row r="559">
      <c r="A559" t="inlineStr">
        <is>
          <t>26FW</t>
        </is>
      </c>
      <c r="B559" t="inlineStr">
        <is>
          <t>26FW</t>
        </is>
      </c>
      <c r="C559" t="inlineStr">
        <is>
          <t>PANTS</t>
        </is>
      </c>
      <c r="D559">
        <f>U559</f>
        <v/>
      </c>
      <c r="E559" t="n">
        <v>1105828</v>
      </c>
      <c r="F559" t="inlineStr">
        <is>
          <t>SUNNY SIDE PANTS WOMEN'S</t>
        </is>
      </c>
      <c r="G559" t="inlineStr">
        <is>
          <t>NV      PK      TN</t>
        </is>
      </c>
      <c r="H559" t="inlineStr">
        <is>
          <t>PK</t>
        </is>
      </c>
      <c r="I559">
        <f>VLOOKUP(H559,[1]尺寸簡表!$C$3:$D$1263,2,0)</f>
        <v/>
      </c>
      <c r="J559" t="n">
        <v>3020</v>
      </c>
      <c r="K559" t="inlineStr">
        <is>
          <t>◎ 聚酯纖維100%（撥水加工），不含PFAS。
◎ 中厚手，雙向彈性、寬鬆剪裁、直筒褲管及前置拉鍊設計。</t>
        </is>
      </c>
    </row>
    <row r="560">
      <c r="A560" t="inlineStr">
        <is>
          <t>26FW</t>
        </is>
      </c>
      <c r="B560" t="inlineStr">
        <is>
          <t>26FW</t>
        </is>
      </c>
      <c r="C560" t="inlineStr">
        <is>
          <t>PANTS</t>
        </is>
      </c>
      <c r="D560">
        <f>U560</f>
        <v/>
      </c>
      <c r="E560" t="n">
        <v>1105825</v>
      </c>
      <c r="F560" t="inlineStr">
        <is>
          <t>SUNNY SIDE THERMAL PANTS MEN'S</t>
        </is>
      </c>
      <c r="G560" t="inlineStr">
        <is>
          <t>BK      BL</t>
        </is>
      </c>
      <c r="H560" t="inlineStr">
        <is>
          <t>BL</t>
        </is>
      </c>
      <c r="I560">
        <f>VLOOKUP(H560,[1]尺寸簡表!$C$3:$D$1263,2,0)</f>
        <v/>
      </c>
      <c r="J560" t="n">
        <v>4140</v>
      </c>
      <c r="K560" t="inlineStr">
        <is>
          <t>◎ 43%聚酯纖維＋50%尼龍＋7%聚氨酯（撥水加工、內裡刷毛處理），不含PFAS。
◎ 厚手、保暖防風，雙向彈性、寬鬆剪裁、直筒褲管及前置拉鍊設計。</t>
        </is>
      </c>
    </row>
    <row r="561">
      <c r="A561" t="inlineStr">
        <is>
          <t>26FW</t>
        </is>
      </c>
      <c r="B561" t="inlineStr">
        <is>
          <t>26FW</t>
        </is>
      </c>
      <c r="C561" t="inlineStr">
        <is>
          <t>PANTS</t>
        </is>
      </c>
      <c r="D561">
        <f>U561</f>
        <v/>
      </c>
      <c r="E561" t="n">
        <v>1105826</v>
      </c>
      <c r="F561" t="inlineStr">
        <is>
          <t>SUNNY SIDE THERMAL PANTS WOMEN'S</t>
        </is>
      </c>
      <c r="G561" t="inlineStr">
        <is>
          <t>DGY      TN</t>
        </is>
      </c>
      <c r="H561" t="inlineStr">
        <is>
          <t>TN</t>
        </is>
      </c>
      <c r="I561">
        <f>VLOOKUP(H561,[1]尺寸簡表!$C$3:$D$1263,2,0)</f>
        <v/>
      </c>
      <c r="J561" t="n">
        <v>3980</v>
      </c>
      <c r="K561" t="inlineStr">
        <is>
          <t>◎ 43%聚酯纖維＋50%尼龍＋7%聚氨酯（撥水加工、內裡刷毛處理），不含PFAS。
◎ 厚手、保暖防風，雙向彈性、寬鬆剪裁、直筒褲管及前置拉鍊設計。</t>
        </is>
      </c>
    </row>
    <row r="562">
      <c r="A562" t="inlineStr"/>
      <c r="B562" t="inlineStr"/>
      <c r="C562" t="inlineStr">
        <is>
          <t>PANTS</t>
        </is>
      </c>
      <c r="D562">
        <f>U562</f>
        <v/>
      </c>
      <c r="E562" t="n">
        <v>1105625</v>
      </c>
      <c r="F562" t="inlineStr">
        <is>
          <t>SUPERIOR DOWN SKIRT</t>
        </is>
      </c>
      <c r="G562" t="inlineStr">
        <is>
          <t>BK      BN</t>
        </is>
      </c>
      <c r="H562" t="inlineStr">
        <is>
          <t>BK</t>
        </is>
      </c>
      <c r="I562">
        <f>VLOOKUP(H562,[1]尺寸簡表!$C$3:$D$1263,2,0)</f>
        <v/>
      </c>
      <c r="J562" t="n">
        <v>3150</v>
      </c>
      <c r="K562" t="inlineStr">
        <is>
          <t>◎ 收納尺寸：10x11cm、裙長48cm（M尺寸）。
◎ 可壓縮的羽絨裙，拉鍊全開方便穿脫，亦可當作蓋毯。
◎ 表布：一面20D Ballistic®尼龍布（防靜電加工）尼龍（撥水、抗靜電）、內裡：20D Ballistic®尼龍布（防靜電加工）尼龍（抗靜電）。側邊：STRETCH CLIMAPLUS®彈性布料布料、填充800FP高品質鵝絨。</t>
        </is>
      </c>
    </row>
    <row r="563">
      <c r="A563" t="inlineStr"/>
      <c r="B563" t="inlineStr"/>
      <c r="C563" t="inlineStr">
        <is>
          <t>PANTS</t>
        </is>
      </c>
      <c r="D563">
        <f>U563</f>
        <v/>
      </c>
      <c r="E563" t="n">
        <v>1105699</v>
      </c>
      <c r="F563" t="inlineStr">
        <is>
          <t>THERMAL O.D. PANTS MEN'S</t>
        </is>
      </c>
      <c r="G563" t="inlineStr">
        <is>
          <t>BK      DGY      NV</t>
        </is>
      </c>
      <c r="H563" t="inlineStr">
        <is>
          <t>DGY</t>
        </is>
      </c>
      <c r="I563">
        <f>VLOOKUP(H563,[1]尺寸簡表!$C$3:$D$1263,2,0)</f>
        <v/>
      </c>
      <c r="J563" t="n">
        <v>3860</v>
      </c>
      <c r="K563" t="inlineStr">
        <is>
          <t>◎ 主體：尼龍50%+聚酯纖維43%+聚氨酯7%（撥水加工）。
◎ 彈性尼龍表布（厚手），內裡短刷毛，具備良好的防風、撥水及保暖性。中腰直筒軟殼褲，一般版型。</t>
        </is>
      </c>
    </row>
    <row r="564">
      <c r="A564" t="inlineStr"/>
      <c r="B564" t="inlineStr"/>
      <c r="C564" t="inlineStr">
        <is>
          <t>PANTS</t>
        </is>
      </c>
      <c r="D564">
        <f>U564</f>
        <v/>
      </c>
      <c r="E564" t="n">
        <v>1105700</v>
      </c>
      <c r="F564" t="inlineStr">
        <is>
          <t>THERMAL O.D. PANTS WOMEN'S</t>
        </is>
      </c>
      <c r="G564" t="inlineStr">
        <is>
          <t>DGY      NV</t>
        </is>
      </c>
      <c r="H564" t="inlineStr">
        <is>
          <t>NV</t>
        </is>
      </c>
      <c r="I564">
        <f>VLOOKUP(H564,[1]尺寸簡表!$C$3:$D$1263,2,0)</f>
        <v/>
      </c>
      <c r="J564" t="n">
        <v>3700</v>
      </c>
      <c r="K564" t="inlineStr">
        <is>
          <t>◎ 主體：尼龍50%+聚酯纖維43%+聚氨酯7%（撥水加工）。
◎ 彈性尼龍表布（厚手），內裡短刷毛，具備良好的防風、撥水及保暖性。中腰直筒軟殼褲，一般版型。</t>
        </is>
      </c>
    </row>
    <row r="565">
      <c r="A565" t="inlineStr"/>
      <c r="B565" t="inlineStr"/>
      <c r="C565" t="inlineStr">
        <is>
          <t>PANTS</t>
        </is>
      </c>
      <c r="D565">
        <f>U565</f>
        <v/>
      </c>
      <c r="E565" t="n">
        <v>1105759</v>
      </c>
      <c r="F565" t="inlineStr">
        <is>
          <t>THERMAWRAP SHORTS MEN'S</t>
        </is>
      </c>
      <c r="G565" t="inlineStr">
        <is>
          <t>BGN      BK</t>
        </is>
      </c>
      <c r="H565" t="inlineStr">
        <is>
          <t>BGN</t>
        </is>
      </c>
      <c r="I565">
        <f>VLOOKUP(H565,[1]尺寸簡表!$C$3:$D$1263,2,0)</f>
        <v/>
      </c>
      <c r="J565" t="n">
        <v>2630</v>
      </c>
      <c r="K565" t="inlineStr">
        <is>
          <t>◎ 表布：（絎縫面）20D Ballistic®尼龍布（防靜電加工） 抗撕裂尼龍（抗靜電加工）；（平滑面）40D 全消光尼龍塔夫綢（防撥水加工）。填充：EXCELOFT®專利中空纖維。雙面可穿，三層構造設計減少冷風侵入。</t>
        </is>
      </c>
    </row>
    <row r="566">
      <c r="A566" t="inlineStr"/>
      <c r="B566" t="inlineStr"/>
      <c r="C566" t="inlineStr">
        <is>
          <t>PANTS</t>
        </is>
      </c>
      <c r="D566">
        <f>U566</f>
        <v/>
      </c>
      <c r="E566" t="n">
        <v>1105511</v>
      </c>
      <c r="F566" t="inlineStr">
        <is>
          <t>THERMAWRAP SHORTS WOMEN'S</t>
        </is>
      </c>
      <c r="G566" t="inlineStr">
        <is>
          <t>BK/GP      KH</t>
        </is>
      </c>
      <c r="H566" t="inlineStr">
        <is>
          <t>KH</t>
        </is>
      </c>
      <c r="I566">
        <f>VLOOKUP(H566,[1]尺寸簡表!$C$3:$D$1263,2,0)</f>
        <v/>
      </c>
      <c r="J566" t="n">
        <v>2000</v>
      </c>
      <c r="K566" t="inlineStr">
        <is>
          <t>◎ 一面20D Ballistic®尼龍布（防靜電加工）抗靜電尼龍布、另一面40D尼龍布（撥水加工），填充EXCELOFT®專利中空纖維化纖。
◎ 三枚差保暖設計，兩面穿、可收納於本體的口袋裡。</t>
        </is>
      </c>
    </row>
    <row r="567">
      <c r="A567" t="inlineStr"/>
      <c r="B567" t="inlineStr"/>
      <c r="C567" t="inlineStr">
        <is>
          <t>PANTS</t>
        </is>
      </c>
      <c r="D567">
        <f>U567</f>
        <v/>
      </c>
      <c r="E567" t="n">
        <v>1105598</v>
      </c>
      <c r="F567" t="inlineStr">
        <is>
          <t>THERMAWRAP SKIRT</t>
        </is>
      </c>
      <c r="G567" t="inlineStr">
        <is>
          <t>BK/MD      KH      WRD</t>
        </is>
      </c>
      <c r="H567" t="inlineStr">
        <is>
          <t>WRD      BK/MD</t>
        </is>
      </c>
      <c r="I567">
        <f>VLOOKUP(H567,[1]尺寸簡表!$C$3:$D$1263,2,0)</f>
        <v/>
      </c>
      <c r="J567" t="n">
        <v>2310</v>
      </c>
      <c r="K567" t="inlineStr">
        <is>
          <t>◎ 長度：55cm（M尺寸）。一面20D Ballistic®尼龍布（防靜電加工）抗靜電尼龍布、另一面40D尼龍布（撥水加工），填充EXCELOFT®專利中空纖維化纖。
◎ 三枚差保暖設計，兩面穿、可收納於本體的口袋裡。</t>
        </is>
      </c>
    </row>
    <row r="568">
      <c r="A568" t="inlineStr"/>
      <c r="B568" t="inlineStr"/>
      <c r="C568" t="inlineStr">
        <is>
          <t>SCARF AND NECK GAITER</t>
        </is>
      </c>
      <c r="D568">
        <f>U568</f>
        <v/>
      </c>
      <c r="E568" t="n">
        <v>1119117</v>
      </c>
      <c r="F568" t="inlineStr">
        <is>
          <t>CABLE KNIT SHORT SCARF</t>
        </is>
      </c>
      <c r="G568" t="inlineStr">
        <is>
          <t>IV      NV</t>
        </is>
      </c>
      <c r="H568" t="inlineStr">
        <is>
          <t>IV</t>
        </is>
      </c>
      <c r="J568" t="n">
        <v>890</v>
      </c>
      <c r="K568" t="inlineStr">
        <is>
          <t>◎ 尺寸：15x75cm。材質：聚酯纖維54%+壓克力紗20%+尼龍20%+美麗諾羊毛6%。</t>
        </is>
      </c>
    </row>
    <row r="569">
      <c r="A569" t="inlineStr"/>
      <c r="B569" t="inlineStr"/>
      <c r="C569" t="inlineStr">
        <is>
          <t>SCARF AND NECK GAITER</t>
        </is>
      </c>
      <c r="D569">
        <f>U569</f>
        <v/>
      </c>
      <c r="E569" t="n">
        <v>1119120</v>
      </c>
      <c r="F569" t="inlineStr">
        <is>
          <t>CHAMEECE ADJUSTABLE NECK GAITER</t>
        </is>
      </c>
      <c r="G569" t="inlineStr">
        <is>
          <t>BK      BL      CPK      DGY</t>
        </is>
      </c>
      <c r="H569" t="inlineStr">
        <is>
          <t>DGY      BL</t>
        </is>
      </c>
      <c r="J569" t="n">
        <v>730</v>
      </c>
      <c r="K569" t="inlineStr">
        <is>
          <t>◎ 材質： CHAMEECE™超細纖維，柔軟親膚、彈性佳，質輕且保暖。薄手輕量又具高保溫性的脖圍，頂部有彈力繩可調整鬆緊度。</t>
        </is>
      </c>
    </row>
    <row r="570">
      <c r="A570" t="inlineStr"/>
      <c r="B570" t="inlineStr"/>
      <c r="C570" t="inlineStr">
        <is>
          <t>SCARF AND NECK GAITER</t>
        </is>
      </c>
      <c r="D570">
        <f>U570</f>
        <v/>
      </c>
      <c r="E570" t="n">
        <v>1118163</v>
      </c>
      <c r="F570" t="inlineStr">
        <is>
          <t>CHAMEECE MUFFLER</t>
        </is>
      </c>
      <c r="G570" t="inlineStr">
        <is>
          <t>BL      DGN25      DGY      IV25      LGY      LGY25      NV25      RD      YL25</t>
        </is>
      </c>
      <c r="H570" t="inlineStr">
        <is>
          <t>BL      DGN25      RD      YL25</t>
        </is>
      </c>
      <c r="J570" t="n">
        <v>410</v>
      </c>
      <c r="K570" t="inlineStr">
        <is>
          <t>◎ 長度：24×160cm。
◎ 使用CHAMEECE™超細纖維刷毛布料的圍巾。薄手輕量又具高保溫性特性。</t>
        </is>
      </c>
    </row>
    <row r="571">
      <c r="A571" t="inlineStr"/>
      <c r="B571" t="inlineStr"/>
      <c r="C571" t="inlineStr">
        <is>
          <t>SCARF AND NECK GAITER</t>
        </is>
      </c>
      <c r="D571">
        <f>U571</f>
        <v/>
      </c>
      <c r="E571" t="n">
        <v>1119121</v>
      </c>
      <c r="F571" t="inlineStr">
        <is>
          <t>CHAMEECE NECK GAITER</t>
        </is>
      </c>
      <c r="G571" t="inlineStr">
        <is>
          <t>BK      BL      CPK      DGY      GY      IV1      OG</t>
        </is>
      </c>
      <c r="H571" t="inlineStr">
        <is>
          <t>GY</t>
        </is>
      </c>
      <c r="J571" t="n">
        <v>620</v>
      </c>
      <c r="K571" t="inlineStr">
        <is>
          <t>◎ 材質： CHAMEECE™超細纖維，柔軟親膚、彈性佳，質輕且保暖。薄手輕量又具高保溫性的脖圍。</t>
        </is>
      </c>
    </row>
    <row r="572">
      <c r="A572" t="inlineStr"/>
      <c r="B572" t="inlineStr"/>
      <c r="C572" t="inlineStr">
        <is>
          <t>SCARF AND NECK GAITER</t>
        </is>
      </c>
      <c r="D572">
        <f>U572</f>
        <v/>
      </c>
      <c r="E572" t="n">
        <v>1119122</v>
      </c>
      <c r="F572" t="inlineStr">
        <is>
          <t>CHAMEECE SNAP NECK GAITER</t>
        </is>
      </c>
      <c r="G572" t="inlineStr">
        <is>
          <t>BK      GY      IV1</t>
        </is>
      </c>
      <c r="H572" t="inlineStr">
        <is>
          <t>BK</t>
        </is>
      </c>
      <c r="J572" t="n">
        <v>780</v>
      </c>
      <c r="K572" t="inlineStr">
        <is>
          <t>◎ 材質： CHAMEECE™超細纖維，柔軟親膚、彈性佳，質輕且保暖。
◎ 用按扣穿戴的脖圍，即使戴著帽子或護目鏡，也可以輕鬆戴上和取下。可三段調整以防止滑落。</t>
        </is>
      </c>
    </row>
    <row r="573">
      <c r="A573" t="inlineStr"/>
      <c r="B573" t="inlineStr"/>
      <c r="C573" t="inlineStr">
        <is>
          <t>SCARF AND NECK GAITER</t>
        </is>
      </c>
      <c r="D573">
        <f>U573</f>
        <v/>
      </c>
      <c r="E573" t="n">
        <v>1119118</v>
      </c>
      <c r="F573" t="inlineStr">
        <is>
          <t>CHAMEECE STOLE L</t>
        </is>
      </c>
      <c r="G573" t="inlineStr">
        <is>
          <t>LGY      LGY25      NV      YL</t>
        </is>
      </c>
      <c r="H573" t="inlineStr">
        <is>
          <t>YL</t>
        </is>
      </c>
      <c r="J573" t="n">
        <v>800</v>
      </c>
      <c r="K573" t="inlineStr">
        <is>
          <t>◎ 長度：74.5×162cm。
◎ 使用CHAMEECE™超細纖維刷毛布料，可當披肩及毯子使用。薄手輕量又具高保溫性特性。</t>
        </is>
      </c>
    </row>
    <row r="574">
      <c r="A574" t="inlineStr"/>
      <c r="B574" t="inlineStr"/>
      <c r="C574" t="inlineStr">
        <is>
          <t>SCARF AND NECK GAITER</t>
        </is>
      </c>
      <c r="D574">
        <f>U574</f>
        <v/>
      </c>
      <c r="E574" t="n">
        <v>1119119</v>
      </c>
      <c r="F574" t="inlineStr">
        <is>
          <t>CHAMEECE STOLE M</t>
        </is>
      </c>
      <c r="G574" t="inlineStr">
        <is>
          <t>BK      LGY      NV      YL</t>
        </is>
      </c>
      <c r="H574" t="inlineStr">
        <is>
          <t>NV</t>
        </is>
      </c>
      <c r="J574" t="n">
        <v>640</v>
      </c>
      <c r="K574" t="inlineStr">
        <is>
          <t>◎ 長度：48×162cm。
◎ 材質： CHAMEECE™超細纖維，柔軟親膚、彈性佳，質輕且保暖。</t>
        </is>
      </c>
    </row>
    <row r="575">
      <c r="A575" t="inlineStr"/>
      <c r="B575" t="inlineStr"/>
      <c r="C575" t="inlineStr">
        <is>
          <t>SCARF AND NECK GAITER</t>
        </is>
      </c>
      <c r="D575">
        <f>U575</f>
        <v/>
      </c>
      <c r="E575" t="n">
        <v>1118644</v>
      </c>
      <c r="F575" t="inlineStr">
        <is>
          <t>CLIMAAIR MUFFLER</t>
        </is>
      </c>
      <c r="G575" t="inlineStr">
        <is>
          <t>BK      DKNV      IV      PU      SLBL      STGN</t>
        </is>
      </c>
      <c r="H575" t="inlineStr">
        <is>
          <t>SLBL      IV      DKNV</t>
        </is>
      </c>
      <c r="J575" t="n">
        <v>690</v>
      </c>
      <c r="K575" t="inlineStr">
        <is>
          <t>◎ 長度：13×170cm。
◎ 使用CLIMAAIR®觸感柔順的長刷毛 長刷毛布料的圍巾。</t>
        </is>
      </c>
    </row>
    <row r="576">
      <c r="A576" t="inlineStr"/>
      <c r="B576" t="inlineStr"/>
      <c r="C576" t="inlineStr">
        <is>
          <t>SCARF AND NECK GAITER</t>
        </is>
      </c>
      <c r="D576">
        <f>U576</f>
        <v/>
      </c>
      <c r="E576" t="n">
        <v>1118354</v>
      </c>
      <c r="F576" t="inlineStr">
        <is>
          <t>CLIMAAIR NECK GAITER</t>
        </is>
      </c>
      <c r="G576" t="inlineStr">
        <is>
          <t>BK      CNBL      GARN      RSMT</t>
        </is>
      </c>
      <c r="H576" t="inlineStr">
        <is>
          <t>RSMT</t>
        </is>
      </c>
      <c r="J576" t="n">
        <v>900</v>
      </c>
      <c r="K576" t="inlineStr">
        <is>
          <t>◎ 長度：13×170cm。
◎ 使用CLIMAAIR®觸感柔順的長刷毛 長刷毛布料的脖圍。</t>
        </is>
      </c>
    </row>
    <row r="577">
      <c r="A577" t="inlineStr"/>
      <c r="B577" t="inlineStr"/>
      <c r="C577" t="inlineStr">
        <is>
          <t>SCARF AND NECK GAITER</t>
        </is>
      </c>
      <c r="D577">
        <f>U577</f>
        <v/>
      </c>
      <c r="E577" t="n">
        <v>1119115</v>
      </c>
      <c r="F577" t="inlineStr">
        <is>
          <t>CLIMAAIR NECK WARMER</t>
        </is>
      </c>
      <c r="G577" t="inlineStr">
        <is>
          <t>BK      IV      NV      PU</t>
        </is>
      </c>
      <c r="H577" t="inlineStr">
        <is>
          <t>NV      PU</t>
        </is>
      </c>
      <c r="I577">
        <f>VLOOKUP(H577,[1]尺寸簡表!$C$3:$D$1263,2,0)</f>
        <v/>
      </c>
      <c r="J577" t="n">
        <v>640</v>
      </c>
      <c r="K577" t="inlineStr">
        <is>
          <t>◎ 材質：CLIMAAIR®觸感柔順的長刷毛，長刷毛親膚兼具保暖、透氣、輕量等功能。
◎用按扣穿戴的脖圍，即使戴著帽子或護目鏡，也可以輕鬆戴上和取下。</t>
        </is>
      </c>
    </row>
    <row r="578">
      <c r="A578" t="inlineStr"/>
      <c r="B578" t="inlineStr"/>
      <c r="C578" t="inlineStr">
        <is>
          <t>SCARF AND NECK GAITER</t>
        </is>
      </c>
      <c r="D578">
        <f>U578</f>
        <v/>
      </c>
      <c r="E578" t="n">
        <v>1119114</v>
      </c>
      <c r="F578" t="inlineStr">
        <is>
          <t>CLIMAAIR SHORT SCARF</t>
        </is>
      </c>
      <c r="G578" t="inlineStr">
        <is>
          <t>BGN      BK      IV      NV</t>
        </is>
      </c>
      <c r="H578" t="inlineStr">
        <is>
          <t>BGN</t>
        </is>
      </c>
      <c r="J578" t="n">
        <v>700</v>
      </c>
      <c r="K578" t="inlineStr">
        <is>
          <t>◎ 材質：CLIMAAIR®觸感柔順的長刷毛，長刷毛親膚兼具保暖、透氣、輕量等功能。</t>
        </is>
      </c>
    </row>
    <row r="579">
      <c r="A579" t="inlineStr"/>
      <c r="B579" t="inlineStr"/>
      <c r="C579" t="inlineStr">
        <is>
          <t>SCARF AND NECK GAITER</t>
        </is>
      </c>
      <c r="D579">
        <f>U579</f>
        <v/>
      </c>
      <c r="E579" t="n">
        <v>1118823</v>
      </c>
      <c r="F579" t="inlineStr">
        <is>
          <t>DOWN NECK WARMER</t>
        </is>
      </c>
      <c r="G579" t="inlineStr">
        <is>
          <t>BK      IV      KH      NV</t>
        </is>
      </c>
      <c r="H579" t="inlineStr">
        <is>
          <t>NV</t>
        </is>
      </c>
      <c r="I579">
        <f>VLOOKUP(H579,[1]尺寸簡表!$C$3:$D$1263,2,0)</f>
        <v/>
      </c>
      <c r="J579" t="n">
        <v>900</v>
      </c>
      <c r="K579" t="inlineStr">
        <is>
          <t>◎ S/M（14x60.5cm）、M/L（14x65cm）。
◎ 表布：20D抗撕裂尼龍布（撥水處理）；填充650FP羽絨。
◎ 輕量又保暖的羽絨圍巾，按扣設方便穿脫。</t>
        </is>
      </c>
    </row>
    <row r="580">
      <c r="A580" t="inlineStr"/>
      <c r="B580" t="inlineStr"/>
      <c r="C580" t="inlineStr">
        <is>
          <t>SCARF AND NECK GAITER</t>
        </is>
      </c>
      <c r="D580">
        <f>U580</f>
        <v/>
      </c>
      <c r="E580" t="n">
        <v>1118824</v>
      </c>
      <c r="F580" t="inlineStr">
        <is>
          <t>DOWN SCARF</t>
        </is>
      </c>
      <c r="G580" t="inlineStr">
        <is>
          <t>BGN      BK      IV      KH</t>
        </is>
      </c>
      <c r="H580" t="inlineStr">
        <is>
          <t>BGN      IV</t>
        </is>
      </c>
      <c r="J580" t="n">
        <v>1100</v>
      </c>
      <c r="K580" t="inlineStr">
        <is>
          <t>◎ 長度：14×175cm。
◎ 表布：20D抗撕裂尼龍布（撥水處理）；填充650FP羽絨。
◎ 輕量又保暖的羽絨圍巾，適合隨身攜帶。</t>
        </is>
      </c>
    </row>
    <row r="581">
      <c r="A581" t="inlineStr"/>
      <c r="B581" t="inlineStr"/>
      <c r="C581" t="inlineStr">
        <is>
          <t>SCARF AND NECK GAITER</t>
        </is>
      </c>
      <c r="D581">
        <f>U581</f>
        <v/>
      </c>
      <c r="E581" t="n">
        <v>1118495</v>
      </c>
      <c r="F581" t="inlineStr">
        <is>
          <t>JACQUARD NECK WARMER</t>
        </is>
      </c>
      <c r="G581" t="inlineStr">
        <is>
          <t>HCH      OPERA</t>
        </is>
      </c>
      <c r="H581" t="inlineStr">
        <is>
          <t>OPERA</t>
        </is>
      </c>
      <c r="J581" t="n">
        <v>810</v>
      </c>
      <c r="K581" t="inlineStr">
        <is>
          <t>◎ 材質：壓克力纖維100%，長度：10×83cm。
◎ 緹花保暖頸圍，可穿繞領口。</t>
        </is>
      </c>
    </row>
    <row r="582">
      <c r="A582" t="inlineStr"/>
      <c r="B582" t="inlineStr"/>
      <c r="C582" t="inlineStr">
        <is>
          <t>SCARF AND NECK GAITER</t>
        </is>
      </c>
      <c r="D582">
        <f>U582</f>
        <v/>
      </c>
      <c r="E582" t="n">
        <v>1108896</v>
      </c>
      <c r="F582" t="inlineStr">
        <is>
          <t>KNIT HIGHLAND MUFFLER FOREST</t>
        </is>
      </c>
      <c r="G582" t="inlineStr">
        <is>
          <t>BN      GY      NV      RD</t>
        </is>
      </c>
      <c r="H582" t="inlineStr">
        <is>
          <t>RD      GY</t>
        </is>
      </c>
      <c r="J582" t="n">
        <v>1200</v>
      </c>
      <c r="K582" t="inlineStr">
        <is>
          <t>◎ 材質：羊毛15%+壓克力纖維85%，長度：15×170cm。
◎ 優質羊毛混紡圍巾，粗紗編織，豐盈體積，鮮豔設計。適用於低山健行及城市生活。</t>
        </is>
      </c>
    </row>
    <row r="583">
      <c r="A583" t="inlineStr"/>
      <c r="B583" t="inlineStr"/>
      <c r="C583" t="inlineStr">
        <is>
          <t>SCARF AND NECK GAITER</t>
        </is>
      </c>
      <c r="D583">
        <f>U583</f>
        <v/>
      </c>
      <c r="E583" t="n">
        <v>1118239</v>
      </c>
      <c r="F583" t="inlineStr">
        <is>
          <t>MERINO WOOL KNIT 2-WAY CAP</t>
        </is>
      </c>
      <c r="G583" t="inlineStr">
        <is>
          <t>CHBK      KH</t>
        </is>
      </c>
      <c r="H583" t="inlineStr">
        <is>
          <t>KH</t>
        </is>
      </c>
      <c r="J583" t="n">
        <v>1480</v>
      </c>
      <c r="K583" t="inlineStr">
        <is>
          <t>◎ 長度：54〜60cm、帽簷寬度：5.5cm。
◎ 美麗諾羊毛製，觸感細緻並具出色的保溫性。兩種配戴方式，可當面罩或帽子使用。</t>
        </is>
      </c>
    </row>
    <row r="584">
      <c r="A584" t="inlineStr"/>
      <c r="B584" t="inlineStr"/>
      <c r="C584" t="inlineStr">
        <is>
          <t>SCARF AND NECK GAITER</t>
        </is>
      </c>
      <c r="D584">
        <f>U584</f>
        <v/>
      </c>
      <c r="E584" t="n">
        <v>1119206</v>
      </c>
      <c r="F584" t="inlineStr">
        <is>
          <t>MERINOWOOL JACQUARD NECK GAITER</t>
        </is>
      </c>
      <c r="G584" t="inlineStr">
        <is>
          <t>BL      DGY      OG</t>
        </is>
      </c>
      <c r="H584" t="inlineStr">
        <is>
          <t>BL</t>
        </is>
      </c>
      <c r="I584">
        <f>VLOOKUP(H584,[1]尺寸簡表!$C$3:$D$1263,2,0)</f>
        <v/>
      </c>
      <c r="J584" t="n">
        <v>1050</v>
      </c>
      <c r="K584" t="inlineStr">
        <is>
          <t>◎ S（54〜56cm）、M（56〜58cm）、L（58〜60cm）。
◎ 美麗諾羊毛100%。多功能中厚手羊毛脖圍，具備出色的彈性保暖快乾功能。</t>
        </is>
      </c>
    </row>
    <row r="585">
      <c r="A585" t="inlineStr"/>
      <c r="B585" t="inlineStr"/>
      <c r="C585" t="inlineStr">
        <is>
          <t>SCARF AND NECK GAITER</t>
        </is>
      </c>
      <c r="D585">
        <f>U585</f>
        <v/>
      </c>
      <c r="E585" t="n">
        <v>1119207</v>
      </c>
      <c r="F585" t="inlineStr">
        <is>
          <t>MERINOWOOL JACQUARD NECK GAITER LONG</t>
        </is>
      </c>
      <c r="G585" t="inlineStr">
        <is>
          <t>BL      DGY      OG</t>
        </is>
      </c>
      <c r="H585" t="inlineStr">
        <is>
          <t>OG</t>
        </is>
      </c>
      <c r="I585">
        <f>VLOOKUP(H585,[1]尺寸簡表!$C$3:$D$1263,2,0)</f>
        <v/>
      </c>
      <c r="J585" t="n">
        <v>1210</v>
      </c>
      <c r="K585" t="inlineStr">
        <is>
          <t>◎ S（54〜56cm）、M（56〜58cm）、L（58〜60cm）。
◎ 美麗諾羊毛100%。多功能中厚手羊毛脖圍，具備出色的彈性保暖快乾功能。</t>
        </is>
      </c>
    </row>
    <row r="586">
      <c r="A586" t="inlineStr"/>
      <c r="B586" t="inlineStr"/>
      <c r="C586" t="inlineStr">
        <is>
          <t>SCARF AND NECK GAITER</t>
        </is>
      </c>
      <c r="D586">
        <f>U586</f>
        <v/>
      </c>
      <c r="E586" t="n">
        <v>1119116</v>
      </c>
      <c r="F586" t="inlineStr">
        <is>
          <t>RIB KNIT LIGHT SCARF #1</t>
        </is>
      </c>
      <c r="G586" t="inlineStr">
        <is>
          <t>BL      DBN      GN</t>
        </is>
      </c>
      <c r="H586" t="inlineStr">
        <is>
          <t>GN</t>
        </is>
      </c>
      <c r="J586" t="n">
        <v>950</v>
      </c>
      <c r="K586" t="inlineStr">
        <is>
          <t>◎ 材質：100%聚酯纖維。保暖針織圍巾。</t>
        </is>
      </c>
    </row>
    <row r="587">
      <c r="A587" t="inlineStr"/>
      <c r="B587" t="inlineStr"/>
      <c r="C587" t="inlineStr">
        <is>
          <t>SCARF AND NECK GAITER</t>
        </is>
      </c>
      <c r="D587">
        <f>U587</f>
        <v/>
      </c>
      <c r="E587" t="n">
        <v>1118405</v>
      </c>
      <c r="F587" t="inlineStr">
        <is>
          <t>SUPER MERINO WOOL EXPEDITION NECK GAITER</t>
        </is>
      </c>
      <c r="G587" t="inlineStr">
        <is>
          <t>BK      GY</t>
        </is>
      </c>
      <c r="H587" t="inlineStr">
        <is>
          <t>GY</t>
        </is>
      </c>
      <c r="I587">
        <f>VLOOKUP(H587,[1]尺寸簡表!$C$3:$D$1263,2,0)</f>
        <v/>
      </c>
      <c r="J587" t="n">
        <v>980</v>
      </c>
      <c r="K587" t="inlineStr">
        <is>
          <t>◎ S（54〜56cm）、M（56〜58cm）、L（58〜60cm）。
◎ 材質：美麗諾羊毛79%+聚纖18%+尼龍2%+聚氨酯1%。
◎ 混紡材質具有出色的拉伸性。當作面罩時頂部邊緣防滑設計穩固貼合。</t>
        </is>
      </c>
    </row>
    <row r="588">
      <c r="A588" t="inlineStr"/>
      <c r="B588" t="inlineStr"/>
      <c r="C588" t="inlineStr">
        <is>
          <t>SCARF AND NECK GAITER</t>
        </is>
      </c>
      <c r="D588">
        <f>U588</f>
        <v/>
      </c>
      <c r="E588" t="n">
        <v>1118406</v>
      </c>
      <c r="F588" t="inlineStr">
        <is>
          <t>SUPER MERINO WOOL EXPEDITION NECK GAITER LONG</t>
        </is>
      </c>
      <c r="G588" t="inlineStr">
        <is>
          <t>BK      GY</t>
        </is>
      </c>
      <c r="H588" t="inlineStr">
        <is>
          <t>BK</t>
        </is>
      </c>
      <c r="I588">
        <f>VLOOKUP(H588,[1]尺寸簡表!$C$3:$D$1263,2,0)</f>
        <v/>
      </c>
      <c r="J588" t="n">
        <v>1160</v>
      </c>
      <c r="K588" t="inlineStr">
        <is>
          <t>◎ S（54〜56cm）、M（56〜58cm）、L（58〜60cm）。
◎ 材質：美麗諾羊毛79%+聚纖18%+尼龍2%+聚氨酯1%。
◎ 混紡材質具有出色的拉伸性。當作面罩時頂部邊緣防滑設計穩固貼合。</t>
        </is>
      </c>
    </row>
    <row r="589">
      <c r="A589" t="inlineStr"/>
      <c r="B589" t="inlineStr"/>
      <c r="C589" t="inlineStr">
        <is>
          <t>SCARF AND NECK GAITER</t>
        </is>
      </c>
      <c r="D589">
        <f>U589</f>
        <v/>
      </c>
      <c r="E589" t="n">
        <v>1118567</v>
      </c>
      <c r="F589" t="inlineStr">
        <is>
          <t>TRAIL ACTION NECK GAITER</t>
        </is>
      </c>
      <c r="G589" t="inlineStr">
        <is>
          <t>BK      NV      RD</t>
        </is>
      </c>
      <c r="H589" t="inlineStr">
        <is>
          <t>RD</t>
        </is>
      </c>
      <c r="J589" t="n">
        <v>1120</v>
      </c>
      <c r="K589" t="inlineStr">
        <is>
          <t>◎ STRETCH CLIMAPLUS®彈性布料 (尼龍47%+聚酯36%+聚氨酯17%)。
◎ 中厚刷毛布料，高度貼合。表面光滑不易附雪，背面吸水保暖，可調節繩索鎖扣。</t>
        </is>
      </c>
    </row>
    <row r="590">
      <c r="A590" t="inlineStr"/>
      <c r="B590" t="inlineStr"/>
      <c r="C590" t="inlineStr">
        <is>
          <t>SCARF AND NECK GAITER</t>
        </is>
      </c>
      <c r="D590">
        <f>U590</f>
        <v/>
      </c>
      <c r="E590" t="n">
        <v>1118950</v>
      </c>
      <c r="F590" t="inlineStr">
        <is>
          <t>TRAIL LIGHT MULTIUSE TUBE</t>
        </is>
      </c>
      <c r="G590" t="inlineStr">
        <is>
          <t>BK      KH      NV      PU</t>
        </is>
      </c>
      <c r="H590" t="inlineStr">
        <is>
          <t>PU</t>
        </is>
      </c>
      <c r="I590">
        <f>VLOOKUP(H590,[1]尺寸簡表!$C$3:$D$1263,2,0)</f>
        <v/>
      </c>
      <c r="J590" t="n">
        <v>580</v>
      </c>
      <c r="K590" t="inlineStr">
        <is>
          <t>◎ 材質：93%聚酯纖維+7%聚氨酯。
◎ 多用途，可當脖圍或頭巾。高伸展頸部護套，具抑菌除臭功能。</t>
        </is>
      </c>
    </row>
    <row r="591">
      <c r="A591" t="inlineStr"/>
      <c r="B591" t="inlineStr"/>
      <c r="C591" t="inlineStr">
        <is>
          <t>SHIRTS</t>
        </is>
      </c>
      <c r="D591">
        <f>U591</f>
        <v/>
      </c>
      <c r="E591" t="n">
        <v>1114892</v>
      </c>
      <c r="F591" t="inlineStr">
        <is>
          <t>MEADOW SHIRT</t>
        </is>
      </c>
      <c r="G591" t="inlineStr">
        <is>
          <t>NV      TN</t>
        </is>
      </c>
      <c r="H591" t="inlineStr">
        <is>
          <t>NV</t>
        </is>
      </c>
      <c r="I591">
        <f>VLOOKUP(H591,[1]尺寸簡表!$C$3:$D$1263,2,0)</f>
        <v/>
      </c>
      <c r="J591" t="n">
        <v>2990</v>
      </c>
      <c r="K591" t="inlineStr">
        <is>
          <t>◎ 薄手wickron® SUPER WICKDRY FIBER：光觸媒粒子分解異味、抗污、抑菌。抗起毛球、UV CUT。
◎ 2個口袋(1拉鍊1翻蓋)。男女適用，適戶外活動及旅行。</t>
        </is>
      </c>
    </row>
    <row r="592">
      <c r="A592" t="inlineStr">
        <is>
          <t>26FW</t>
        </is>
      </c>
      <c r="B592" t="inlineStr">
        <is>
          <t>26FW</t>
        </is>
      </c>
      <c r="C592" t="inlineStr">
        <is>
          <t>SHIRTS</t>
        </is>
      </c>
      <c r="D592">
        <f>U592</f>
        <v/>
      </c>
      <c r="E592" t="n">
        <v>1114973</v>
      </c>
      <c r="F592" t="inlineStr">
        <is>
          <t>O.D. SNAP BUTTON SHIRTS MEN'S</t>
        </is>
      </c>
      <c r="G592" t="inlineStr">
        <is>
          <t>GN      IV      OG      YL</t>
        </is>
      </c>
      <c r="H592" t="inlineStr">
        <is>
          <t>GN</t>
        </is>
      </c>
      <c r="I592">
        <f>VLOOKUP(H592,[1]尺寸簡表!$C$3:$D$1263,2,0)</f>
        <v/>
      </c>
      <c r="J592" t="n">
        <v>2830</v>
      </c>
      <c r="K592" t="inlineStr">
        <is>
          <t>◎ wickron®（聚酯纖維100%），不含PFAS。中厚手，採用按扣設計方便快速穿脫。左胸設有1個口袋。</t>
        </is>
      </c>
    </row>
    <row r="593">
      <c r="A593" t="inlineStr"/>
      <c r="B593" t="inlineStr"/>
      <c r="C593" t="inlineStr">
        <is>
          <t>SHIRTS</t>
        </is>
      </c>
      <c r="D593">
        <f>U593</f>
        <v/>
      </c>
      <c r="E593" t="n">
        <v>1114547</v>
      </c>
      <c r="F593" t="inlineStr">
        <is>
          <t>WICKRON DRY TOUCH LONG SLEEVE SHIRT MEN'S</t>
        </is>
      </c>
      <c r="G593" t="inlineStr">
        <is>
          <t>DGY      LGN      MALD      NV      WRD      WT</t>
        </is>
      </c>
      <c r="H593" t="inlineStr">
        <is>
          <t>MALD</t>
        </is>
      </c>
      <c r="I593">
        <f>VLOOKUP(H593,[1]尺寸簡表!$C$3:$D$1263,2,0)</f>
        <v/>
      </c>
      <c r="J593" t="n">
        <v>2160</v>
      </c>
      <c r="K593" t="inlineStr">
        <is>
          <t>◎ wickron®D.T.泡泡紗：抗污、抑菌。抗起毛球、UV CUT。
◎透氣性佳，速乾不易皺摺，適合長期旅行或商務穿著。</t>
        </is>
      </c>
    </row>
    <row r="594">
      <c r="A594" t="inlineStr"/>
      <c r="B594" t="inlineStr"/>
      <c r="C594" t="inlineStr">
        <is>
          <t>SHIRTS</t>
        </is>
      </c>
      <c r="D594">
        <f>U594</f>
        <v/>
      </c>
      <c r="E594" t="n">
        <v>1114548</v>
      </c>
      <c r="F594" t="inlineStr">
        <is>
          <t>WICKRON DRY TOUCH LONG SLEEVE SHIRT WOMEN'S</t>
        </is>
      </c>
      <c r="G594" t="inlineStr">
        <is>
          <t>GN      LGY      LVBL      TN</t>
        </is>
      </c>
      <c r="H594" t="inlineStr">
        <is>
          <t>LVBL</t>
        </is>
      </c>
      <c r="I594">
        <f>VLOOKUP(H594,[1]尺寸簡表!$C$3:$D$1263,2,0)</f>
        <v/>
      </c>
      <c r="J594" t="n">
        <v>2020</v>
      </c>
      <c r="K594" t="inlineStr">
        <is>
          <t>◎ wickron®D.T.泡泡紗：抗污、抑菌。抗起毛球、UV CUT。
◎透氣性佳，速乾不易皺摺，適合長期旅行或商務穿著。</t>
        </is>
      </c>
    </row>
    <row r="595">
      <c r="A595" t="inlineStr"/>
      <c r="B595" t="inlineStr"/>
      <c r="C595" t="inlineStr">
        <is>
          <t>SHIRTS</t>
        </is>
      </c>
      <c r="D595">
        <f>U595</f>
        <v/>
      </c>
      <c r="E595" t="n">
        <v>1114832</v>
      </c>
      <c r="F595" t="inlineStr">
        <is>
          <t>WICKRON LIGHT DOUBLE POCKET LONG SLEEVE SHIRT MEN'S</t>
        </is>
      </c>
      <c r="G595" t="inlineStr">
        <is>
          <t>BGN      BL      RD25      TN</t>
        </is>
      </c>
      <c r="H595" t="inlineStr">
        <is>
          <t>TN</t>
        </is>
      </c>
      <c r="I595">
        <f>VLOOKUP(H595,[1]尺寸簡表!$C$3:$D$1263,2,0)</f>
        <v/>
      </c>
      <c r="J595" t="n">
        <v>2230</v>
      </c>
      <c r="K595" t="inlineStr">
        <is>
          <t>◎ wickron® SUPER WICKDRY FIBER：光觸媒粒子分解異味、抗污、抑菌。抗起毛球、UV CUT。</t>
        </is>
      </c>
    </row>
    <row r="596">
      <c r="A596" t="inlineStr"/>
      <c r="B596" t="inlineStr"/>
      <c r="C596" t="inlineStr">
        <is>
          <t>SHIRTS</t>
        </is>
      </c>
      <c r="D596">
        <f>U596</f>
        <v/>
      </c>
      <c r="E596" t="n">
        <v>1114977</v>
      </c>
      <c r="F596" t="inlineStr">
        <is>
          <t>WICKRON LIGHT PRINT LONG SLEEVE SHIRT MEN'S</t>
        </is>
      </c>
      <c r="G596" t="inlineStr">
        <is>
          <t>IV      WT</t>
        </is>
      </c>
      <c r="I596">
        <f>VLOOKUP(H596,[1]尺寸簡表!$C$3:$D$1263,2,0)</f>
        <v/>
      </c>
      <c r="J596" t="n">
        <v>2510</v>
      </c>
      <c r="K596" t="inlineStr">
        <is>
          <t>◎ wickron® SUPER WICKDRY FIBER：光觸媒粒子分解異味、抗污、抑菌。抗起毛球、UV CUT。</t>
        </is>
      </c>
    </row>
    <row r="597">
      <c r="A597" t="inlineStr"/>
      <c r="B597" t="inlineStr"/>
      <c r="C597" t="inlineStr">
        <is>
          <t>SHIRTS</t>
        </is>
      </c>
      <c r="D597">
        <f>U597</f>
        <v/>
      </c>
      <c r="E597" t="n">
        <v>1114978</v>
      </c>
      <c r="F597" t="inlineStr">
        <is>
          <t>WICKRON LIGHT PRINT LONG SLEEVE SHIRT WOMEN'S</t>
        </is>
      </c>
      <c r="G597" t="inlineStr">
        <is>
          <t>BL      GN</t>
        </is>
      </c>
      <c r="I597">
        <f>VLOOKUP(H597,[1]尺寸簡表!$C$3:$D$1263,2,0)</f>
        <v/>
      </c>
      <c r="J597" t="n">
        <v>2280</v>
      </c>
      <c r="K597" t="inlineStr">
        <is>
          <t>◎ wickron® SUPER WICKDRY FIBER：光觸媒粒子分解異味、抗污、抑菌。抗起毛球、UV CUT。</t>
        </is>
      </c>
    </row>
    <row r="598">
      <c r="A598" t="inlineStr"/>
      <c r="B598" t="inlineStr"/>
      <c r="C598" t="inlineStr">
        <is>
          <t>SHIRTS</t>
        </is>
      </c>
      <c r="D598">
        <f>U598</f>
        <v/>
      </c>
      <c r="E598" t="n">
        <v>1114834</v>
      </c>
      <c r="F598" t="inlineStr">
        <is>
          <t>WICKRON LIGHT SINGLE POCKET LONG SLEEVE SHIRT MEN'S</t>
        </is>
      </c>
      <c r="G598" t="inlineStr">
        <is>
          <t>BGN      BL      CPK      DBN      DGY      GN25      GY25      TN      TN25</t>
        </is>
      </c>
      <c r="I598">
        <f>VLOOKUP(H598,[1]尺寸簡表!$C$3:$D$1263,2,0)</f>
        <v/>
      </c>
      <c r="J598" t="n">
        <v>2160</v>
      </c>
      <c r="K598" t="inlineStr">
        <is>
          <t>◎ wickron® SUPER WICKDRY FIBER：光觸媒粒子分解異味、抗污、抑菌。抗起毛球、UV CUT。</t>
        </is>
      </c>
    </row>
    <row r="599">
      <c r="A599" t="inlineStr"/>
      <c r="B599" t="inlineStr"/>
      <c r="C599" t="inlineStr">
        <is>
          <t>SHIRTS</t>
        </is>
      </c>
      <c r="D599">
        <f>U599</f>
        <v/>
      </c>
      <c r="E599" t="n">
        <v>1114494</v>
      </c>
      <c r="F599" t="inlineStr">
        <is>
          <t>WICKRON LIGHT SINGLE POCKET LONG SLEEVE SHIRT WOMEN'S</t>
        </is>
      </c>
      <c r="G599" t="inlineStr">
        <is>
          <t>BL      GY      IV      LBL      NV      WT25</t>
        </is>
      </c>
      <c r="H599" t="inlineStr">
        <is>
          <t>WT25</t>
        </is>
      </c>
      <c r="I599">
        <f>VLOOKUP(H599,[1]尺寸簡表!$C$3:$D$1263,2,0)</f>
        <v/>
      </c>
      <c r="J599" t="n">
        <v>2020</v>
      </c>
      <c r="K599" t="inlineStr">
        <is>
          <t>◎ wickron®SUPER WICKDRY FIBER：光觸媒粒子分解異味、抗污、抑菌。抗起毛球、UV CUT。
◎ 單胸前口袋設計，適用戶外活動及日常。</t>
        </is>
      </c>
    </row>
    <row r="600">
      <c r="A600" t="inlineStr"/>
      <c r="B600" t="inlineStr"/>
      <c r="C600" t="inlineStr">
        <is>
          <t>SHIRTS</t>
        </is>
      </c>
      <c r="D600">
        <f>U600</f>
        <v/>
      </c>
      <c r="E600" t="n">
        <v>1114670</v>
      </c>
      <c r="F600" t="inlineStr">
        <is>
          <t>WICKRON LIGHT STAND COLLAR SHIRT MEN'S</t>
        </is>
      </c>
      <c r="G600" t="inlineStr">
        <is>
          <t>BL      GN25      LGY25</t>
        </is>
      </c>
      <c r="H600" t="inlineStr">
        <is>
          <t>GN25</t>
        </is>
      </c>
      <c r="I600">
        <f>VLOOKUP(H600,[1]尺寸簡表!$C$3:$D$1263,2,0)</f>
        <v/>
      </c>
      <c r="J600" t="n">
        <v>2160</v>
      </c>
      <c r="K600" t="inlineStr">
        <is>
          <t>◎ wickron® SUPER WICKDRY FIBER：光觸媒粒子分解異味、抗污、抑菌。抗起毛球、UV CUT。</t>
        </is>
      </c>
    </row>
    <row r="601">
      <c r="A601" t="inlineStr"/>
      <c r="B601" t="inlineStr"/>
      <c r="C601" t="inlineStr">
        <is>
          <t>SHIRTS</t>
        </is>
      </c>
      <c r="D601">
        <f>U601</f>
        <v/>
      </c>
      <c r="E601" t="n">
        <v>1114671</v>
      </c>
      <c r="F601" t="inlineStr">
        <is>
          <t>WICKRON LIGHT STAND COLLAR SHIRT WOMEN'S</t>
        </is>
      </c>
      <c r="G601" t="inlineStr">
        <is>
          <t>BL      GY      LGY      PK</t>
        </is>
      </c>
      <c r="H601" t="inlineStr">
        <is>
          <t>LGY</t>
        </is>
      </c>
      <c r="I601">
        <f>VLOOKUP(H601,[1]尺寸簡表!$C$3:$D$1263,2,0)</f>
        <v/>
      </c>
      <c r="J601" t="n">
        <v>2020</v>
      </c>
      <c r="K601" t="inlineStr">
        <is>
          <t>◎ wickron® SUPER WICKDRY FIBER：光觸媒粒子分解異味、抗污、抑菌。抗起毛球、UV CUT。</t>
        </is>
      </c>
    </row>
    <row r="602">
      <c r="A602" t="inlineStr"/>
      <c r="B602" t="inlineStr"/>
      <c r="C602" t="inlineStr">
        <is>
          <t>SHIRTS</t>
        </is>
      </c>
      <c r="D602">
        <f>U602</f>
        <v/>
      </c>
      <c r="E602" t="n">
        <v>1114332</v>
      </c>
      <c r="F602" t="inlineStr">
        <is>
          <t>WICKRON O.D. SHIRT MEN'S</t>
        </is>
      </c>
      <c r="G602" t="inlineStr">
        <is>
          <t>BN      DGN      NV24      NV25      TN</t>
        </is>
      </c>
      <c r="H602" t="inlineStr">
        <is>
          <t>TN      NV24</t>
        </is>
      </c>
      <c r="I602">
        <f>VLOOKUP(H602,[1]尺寸簡表!$C$3:$D$1263,2,0)</f>
        <v/>
      </c>
      <c r="J602" t="n">
        <v>2450</v>
      </c>
      <c r="K602" t="inlineStr">
        <is>
          <t>◎ 中厚手wickron®SUPER WICKDRY FIBER：光觸媒粒子分解異味、抗污、抑菌。抗起毛球、UV CUT。</t>
        </is>
      </c>
    </row>
    <row r="603">
      <c r="A603" t="inlineStr"/>
      <c r="B603" t="inlineStr"/>
      <c r="C603" t="inlineStr">
        <is>
          <t>SHIRTS</t>
        </is>
      </c>
      <c r="D603">
        <f>U603</f>
        <v/>
      </c>
      <c r="E603" t="n">
        <v>1114602</v>
      </c>
      <c r="F603" t="inlineStr">
        <is>
          <t>WICKRON O.D. SINGLE POCKET SHIRT WOMEN'S</t>
        </is>
      </c>
      <c r="G603" t="inlineStr">
        <is>
          <t>LBL      LTN      MST      NV25      PU      WRD</t>
        </is>
      </c>
      <c r="H603" t="inlineStr">
        <is>
          <t>PU</t>
        </is>
      </c>
      <c r="I603">
        <f>VLOOKUP(H603,[1]尺寸簡表!$C$3:$D$1263,2,0)</f>
        <v/>
      </c>
      <c r="J603" t="n">
        <v>2200</v>
      </c>
      <c r="K603" t="inlineStr">
        <is>
          <t>◎ 中厚手wickron®SUPER WICKDRY FIBER：光觸媒粒子分解異味、抗污、抑菌。抗起毛球、UV CUT。</t>
        </is>
      </c>
    </row>
    <row r="604">
      <c r="A604" t="inlineStr"/>
      <c r="B604" t="inlineStr"/>
      <c r="C604" t="inlineStr">
        <is>
          <t>SHIRTS</t>
        </is>
      </c>
      <c r="D604">
        <f>U604</f>
        <v/>
      </c>
      <c r="E604" t="n">
        <v>1114126</v>
      </c>
      <c r="F604" t="inlineStr">
        <is>
          <t>WOOL MOUNTAIN SHIRT MEN'S</t>
        </is>
      </c>
      <c r="G604" t="inlineStr">
        <is>
          <t>DBN      LGY      NV</t>
        </is>
      </c>
      <c r="I604">
        <f>VLOOKUP(H604,[1]尺寸簡表!$C$3:$D$1263,2,0)</f>
        <v/>
      </c>
      <c r="J604" t="n">
        <v>5530</v>
      </c>
      <c r="K604" t="inlineStr">
        <is>
          <t>◎ 材質：羊毛90%+尼龍10%、UV CUT。
◎ 高密度羊毛毛衣，防風保暖，適用登山健行。</t>
        </is>
      </c>
    </row>
    <row r="605">
      <c r="A605" t="inlineStr">
        <is>
          <t>26FW</t>
        </is>
      </c>
      <c r="B605" t="inlineStr">
        <is>
          <t>26FW</t>
        </is>
      </c>
      <c r="C605" t="inlineStr">
        <is>
          <t>SHOWER CLIMBING</t>
        </is>
      </c>
      <c r="D605">
        <f>U605</f>
        <v/>
      </c>
      <c r="E605" t="n">
        <v>1125130</v>
      </c>
      <c r="F605" t="inlineStr">
        <is>
          <t>CLIMAPRENE PLAIN SOCKS</t>
        </is>
      </c>
      <c r="G605" t="inlineStr">
        <is>
          <t>BK</t>
        </is>
      </c>
      <c r="H605" t="inlineStr">
        <is>
          <t>BK</t>
        </is>
      </c>
      <c r="I605">
        <f>VLOOKUP(H605,[1]尺寸簡表!$C$3:$D$1263,2,0)</f>
        <v/>
      </c>
      <c r="J605" t="n">
        <v>1400</v>
      </c>
      <c r="K605" t="inlineStr">
        <is>
          <t>◎ 材質：2.5mm氯丁橡膠(CLIMAPRENE)，水上運動襪，具保暖性和足部保護。適合攀岩和溪流釣魚。</t>
        </is>
      </c>
    </row>
    <row r="606">
      <c r="A606" t="inlineStr"/>
      <c r="B606" t="inlineStr"/>
      <c r="C606" t="inlineStr">
        <is>
          <t>SOCKS</t>
        </is>
      </c>
      <c r="D606">
        <f>U606</f>
        <v/>
      </c>
      <c r="E606" t="n">
        <v>1118677</v>
      </c>
      <c r="F606" t="inlineStr">
        <is>
          <t>KAMICO CROSS RUNNER 5 TOE SOCKS</t>
        </is>
      </c>
      <c r="G606" t="inlineStr">
        <is>
          <t>DGY      LBL</t>
        </is>
      </c>
      <c r="H606" t="inlineStr">
        <is>
          <t>DGY      LBL</t>
        </is>
      </c>
      <c r="I606">
        <f>VLOOKUP(H606,[1]尺寸簡表!$C$3:$D$1263,2,0)</f>
        <v/>
      </c>
      <c r="J606" t="n">
        <v>720</v>
      </c>
      <c r="K606" t="inlineStr">
        <is>
          <t>◎ 薄手：KAMIKO PLUS® （紙纖維27%+尼龍37%+聚酯纖維34%+聚氨酯2%）</t>
        </is>
      </c>
    </row>
    <row r="607">
      <c r="A607" t="inlineStr"/>
      <c r="B607" t="inlineStr"/>
      <c r="C607" t="inlineStr">
        <is>
          <t>SOCKS</t>
        </is>
      </c>
      <c r="D607">
        <f>U607</f>
        <v/>
      </c>
      <c r="E607" t="n">
        <v>1118301</v>
      </c>
      <c r="F607" t="inlineStr">
        <is>
          <t>KAMICO TRAVEL 5 TOE ANKLE SOCKS MEN'S</t>
        </is>
      </c>
      <c r="G607" t="inlineStr">
        <is>
          <t>DGY      KH      LGY</t>
        </is>
      </c>
      <c r="H607" t="inlineStr">
        <is>
          <t>KH</t>
        </is>
      </c>
      <c r="I607">
        <f>VLOOKUP(H607,[1]尺寸簡表!$C$3:$D$1263,2,0)</f>
        <v/>
      </c>
      <c r="J607" t="n">
        <v>500</v>
      </c>
      <c r="K607" t="inlineStr">
        <is>
          <t>◎ 薄手：KAMIKO PLUS® （紙纖維33%+尼龍51%+聚酯纖維14%+聚氨酯2%）</t>
        </is>
      </c>
    </row>
    <row r="608">
      <c r="A608" t="inlineStr"/>
      <c r="B608" t="inlineStr"/>
      <c r="C608" t="inlineStr">
        <is>
          <t>SOCKS</t>
        </is>
      </c>
      <c r="D608">
        <f>U608</f>
        <v/>
      </c>
      <c r="E608" t="n">
        <v>1118878</v>
      </c>
      <c r="F608" t="inlineStr">
        <is>
          <t>KAMICO TRAVEL 5 TOE ANKLE SOCKS WOMEN'S</t>
        </is>
      </c>
      <c r="G608" t="inlineStr">
        <is>
          <t>LBL      PU      TQ</t>
        </is>
      </c>
      <c r="I608">
        <f>VLOOKUP(H608,[1]尺寸簡表!$C$3:$D$1263,2,0)</f>
        <v/>
      </c>
      <c r="J608" t="n">
        <v>500</v>
      </c>
      <c r="K608" t="inlineStr">
        <is>
          <t>◎ 薄手：KAMIKO PLUS® （紙纖維32%+尼龍52%+聚酯纖維14%+聚氨酯2%）</t>
        </is>
      </c>
    </row>
    <row r="609">
      <c r="A609" t="inlineStr"/>
      <c r="B609" t="inlineStr"/>
      <c r="C609" t="inlineStr">
        <is>
          <t>SOCKS</t>
        </is>
      </c>
      <c r="D609">
        <f>U609</f>
        <v/>
      </c>
      <c r="E609" t="n">
        <v>1118309</v>
      </c>
      <c r="F609" t="inlineStr">
        <is>
          <t>KAMICO TRAVEL 5 TOE SOCKS MEN'S</t>
        </is>
      </c>
      <c r="G609" t="inlineStr">
        <is>
          <t>BK      KH      LGY</t>
        </is>
      </c>
      <c r="H609" t="inlineStr">
        <is>
          <t>KH</t>
        </is>
      </c>
      <c r="I609">
        <f>VLOOKUP(H609,[1]尺寸簡表!$C$3:$D$1263,2,0)</f>
        <v/>
      </c>
      <c r="J609" t="n">
        <v>650</v>
      </c>
      <c r="K609" t="inlineStr">
        <is>
          <t>◎ 薄手：KAMIKO PLUS® （紙纖維32%+尼龍51%+聚酯纖維15%+聚氨酯2%）</t>
        </is>
      </c>
    </row>
    <row r="610">
      <c r="A610" t="inlineStr"/>
      <c r="B610" t="inlineStr"/>
      <c r="C610" t="inlineStr">
        <is>
          <t>SOCKS</t>
        </is>
      </c>
      <c r="D610">
        <f>U610</f>
        <v/>
      </c>
      <c r="E610" t="n">
        <v>1118877</v>
      </c>
      <c r="F610" t="inlineStr">
        <is>
          <t>KAMICO TRAVEL 5 TOE SOCKS WOMEN'S</t>
        </is>
      </c>
      <c r="G610" t="inlineStr">
        <is>
          <t>LBL      PU      TQ</t>
        </is>
      </c>
      <c r="I610">
        <f>VLOOKUP(H610,[1]尺寸簡表!$C$3:$D$1263,2,0)</f>
        <v/>
      </c>
      <c r="J610" t="n">
        <v>650</v>
      </c>
      <c r="K610" t="inlineStr">
        <is>
          <t>◎ 薄手：KAMIKO PLUS® （紙纖維32%+尼龍48%+聚酯纖維18%+聚氨酯2%）</t>
        </is>
      </c>
    </row>
    <row r="611">
      <c r="A611" t="inlineStr"/>
      <c r="B611" t="inlineStr"/>
      <c r="C611" t="inlineStr">
        <is>
          <t>SOCKS</t>
        </is>
      </c>
      <c r="D611">
        <f>U611</f>
        <v/>
      </c>
      <c r="E611" t="n">
        <v>1118810</v>
      </c>
      <c r="F611" t="inlineStr">
        <is>
          <t>KAMICO TRAVEL SPLIT TOE ANKLE SOCKS MEN'S</t>
        </is>
      </c>
      <c r="G611" t="inlineStr">
        <is>
          <t>DGY      IV</t>
        </is>
      </c>
      <c r="H611" t="inlineStr">
        <is>
          <t>DGY</t>
        </is>
      </c>
      <c r="I611">
        <f>VLOOKUP(H611,[1]尺寸簡表!$C$3:$D$1263,2,0)</f>
        <v/>
      </c>
      <c r="J611" t="n">
        <v>500</v>
      </c>
      <c r="K611" t="inlineStr">
        <is>
          <t>◎ 薄手：KAMIKO PLUS® （紙纖維24%+尼龍58%+聚酯纖維16%+聚氨酯2%）</t>
        </is>
      </c>
    </row>
    <row r="612">
      <c r="A612" t="inlineStr"/>
      <c r="B612" t="inlineStr"/>
      <c r="C612" t="inlineStr">
        <is>
          <t>SOCKS</t>
        </is>
      </c>
      <c r="D612">
        <f>U612</f>
        <v/>
      </c>
      <c r="E612" t="n">
        <v>1118809</v>
      </c>
      <c r="F612" t="inlineStr">
        <is>
          <t>KAMICO TRAVEL SPLIT TOE SOCKS MEN'S</t>
        </is>
      </c>
      <c r="G612" t="inlineStr">
        <is>
          <t>DGY      IV</t>
        </is>
      </c>
      <c r="H612" t="inlineStr">
        <is>
          <t>IV</t>
        </is>
      </c>
      <c r="I612">
        <f>VLOOKUP(H612,[1]尺寸簡表!$C$3:$D$1263,2,0)</f>
        <v/>
      </c>
      <c r="J612" t="n">
        <v>610</v>
      </c>
      <c r="K612" t="inlineStr">
        <is>
          <t>◎ 薄手：KAMIKO PLUS® （紙纖維21%+尼龍54%+聚酯纖維23%+聚氨酯2%）</t>
        </is>
      </c>
    </row>
    <row r="613">
      <c r="A613" t="inlineStr"/>
      <c r="B613" t="inlineStr"/>
      <c r="C613" t="inlineStr">
        <is>
          <t>SOCKS</t>
        </is>
      </c>
      <c r="D613">
        <f>U613</f>
        <v/>
      </c>
      <c r="E613" t="n">
        <v>1118536</v>
      </c>
      <c r="F613" t="inlineStr">
        <is>
          <t>KAMICO TREKKING SOCKS MEN'S</t>
        </is>
      </c>
      <c r="G613" t="inlineStr">
        <is>
          <t>DGY      HCH</t>
        </is>
      </c>
      <c r="H613" t="inlineStr">
        <is>
          <t>HCH</t>
        </is>
      </c>
      <c r="I613">
        <f>VLOOKUP(H613,[1]尺寸簡表!$C$3:$D$1263,2,0)</f>
        <v/>
      </c>
      <c r="J613" t="n">
        <v>760</v>
      </c>
      <c r="K613" t="inlineStr">
        <is>
          <t>◎ 厚手：KAMIKO PLUS® （紙纖維31%+尼龍36%+聚酯纖維31%+聚氨酯2%）</t>
        </is>
      </c>
    </row>
    <row r="614">
      <c r="A614" t="inlineStr"/>
      <c r="B614" t="inlineStr"/>
      <c r="C614" t="inlineStr">
        <is>
          <t>SOCKS</t>
        </is>
      </c>
      <c r="D614">
        <f>U614</f>
        <v/>
      </c>
      <c r="E614" t="n">
        <v>1118704</v>
      </c>
      <c r="F614" t="inlineStr">
        <is>
          <t>KAMICO TREKKING SPLIT TOE SOCKS MEN'S</t>
        </is>
      </c>
      <c r="G614" t="inlineStr">
        <is>
          <t>SLBL      SV</t>
        </is>
      </c>
      <c r="H614" t="inlineStr">
        <is>
          <t>SV      SLBL</t>
        </is>
      </c>
      <c r="I614">
        <f>VLOOKUP(H614,[1]尺寸簡表!$C$3:$D$1263,2,0)</f>
        <v/>
      </c>
      <c r="J614" t="n">
        <v>790</v>
      </c>
      <c r="K614" t="inlineStr">
        <is>
          <t>◎ 薄手：KAMIKO PLUS® （紙纖維35%+尼龍37%+聚酯纖維26%+聚氨酯2%）</t>
        </is>
      </c>
    </row>
    <row r="615">
      <c r="A615" t="inlineStr"/>
      <c r="B615" t="inlineStr"/>
      <c r="C615" t="inlineStr">
        <is>
          <t>SOCKS</t>
        </is>
      </c>
      <c r="D615">
        <f>U615</f>
        <v/>
      </c>
      <c r="E615" t="n">
        <v>1118420</v>
      </c>
      <c r="F615" t="inlineStr">
        <is>
          <t>MERINO WOOL ALPINE HIGH SOCKS MEN'S</t>
        </is>
      </c>
      <c r="G615" t="inlineStr">
        <is>
          <t>HCH      OTML</t>
        </is>
      </c>
      <c r="H615" t="inlineStr">
        <is>
          <t>HCH</t>
        </is>
      </c>
      <c r="I615">
        <f>VLOOKUP(H615,[1]尺寸簡表!$C$3:$D$1263,2,0)</f>
        <v/>
      </c>
      <c r="J615" t="n">
        <v>1080</v>
      </c>
      <c r="K615" t="inlineStr">
        <is>
          <t>◎ 極厚手，材質：羊毛64%＋尼龍26%＋聚酯纖維9%＋聚氨酯1%。</t>
        </is>
      </c>
    </row>
    <row r="616">
      <c r="A616" t="inlineStr"/>
      <c r="B616" t="inlineStr"/>
      <c r="C616" t="inlineStr">
        <is>
          <t>SOCKS</t>
        </is>
      </c>
      <c r="D616">
        <f>U616</f>
        <v/>
      </c>
      <c r="E616" t="n">
        <v>1118418</v>
      </c>
      <c r="F616" t="inlineStr">
        <is>
          <t>MERINO WOOL ALPINE SOCKS MEN'S</t>
        </is>
      </c>
      <c r="G616" t="inlineStr">
        <is>
          <t>DKNV      DRD      HCH      OTML</t>
        </is>
      </c>
      <c r="H616" t="inlineStr">
        <is>
          <t>OTML</t>
        </is>
      </c>
      <c r="I616">
        <f>VLOOKUP(H616,[1]尺寸簡表!$C$3:$D$1263,2,0)</f>
        <v/>
      </c>
      <c r="J616" t="n">
        <v>940</v>
      </c>
      <c r="K616" t="inlineStr">
        <is>
          <t>◎ 極厚手，材質：羊毛63%＋尼龍28%＋聚酯纖維8%＋聚氨酯1%。</t>
        </is>
      </c>
    </row>
    <row r="617">
      <c r="A617" t="inlineStr"/>
      <c r="B617" t="inlineStr"/>
      <c r="C617" t="inlineStr">
        <is>
          <t>SOCKS</t>
        </is>
      </c>
      <c r="D617">
        <f>U617</f>
        <v/>
      </c>
      <c r="E617" t="n">
        <v>1118419</v>
      </c>
      <c r="F617" t="inlineStr">
        <is>
          <t>MERINO WOOL ALPINE SOCKS WOMEN'S</t>
        </is>
      </c>
      <c r="G617" t="inlineStr">
        <is>
          <t>HCH      VT</t>
        </is>
      </c>
      <c r="H617" t="inlineStr">
        <is>
          <t>VT</t>
        </is>
      </c>
      <c r="I617">
        <f>VLOOKUP(H617,[1]尺寸簡表!$C$3:$D$1263,2,0)</f>
        <v/>
      </c>
      <c r="J617" t="n">
        <v>940</v>
      </c>
      <c r="K617" t="inlineStr">
        <is>
          <t>◎ 極厚手，材質：羊毛64%＋尼龍28%＋聚酯纖維7%＋聚氨酯1%。</t>
        </is>
      </c>
    </row>
    <row r="618">
      <c r="A618" t="inlineStr"/>
      <c r="B618" t="inlineStr"/>
      <c r="C618" t="inlineStr">
        <is>
          <t>SOCKS</t>
        </is>
      </c>
      <c r="D618">
        <f>U618</f>
        <v/>
      </c>
      <c r="E618" t="n">
        <v>1118416</v>
      </c>
      <c r="F618" t="inlineStr">
        <is>
          <t>MERINO WOOL EXPEDITION SOCKS MEN'S</t>
        </is>
      </c>
      <c r="G618" t="inlineStr">
        <is>
          <t>HCH      OTML</t>
        </is>
      </c>
      <c r="H618" t="inlineStr">
        <is>
          <t>HCH</t>
        </is>
      </c>
      <c r="I618">
        <f>VLOOKUP(H618,[1]尺寸簡表!$C$3:$D$1263,2,0)</f>
        <v/>
      </c>
      <c r="J618" t="n">
        <v>1150</v>
      </c>
      <c r="K618" t="inlineStr">
        <is>
          <t>◎ 超極厚手，材質：羊毛67%＋尼龍27%＋聚酯纖維5%＋聚氨酯1%。</t>
        </is>
      </c>
    </row>
    <row r="619">
      <c r="A619" t="inlineStr"/>
      <c r="B619" t="inlineStr"/>
      <c r="C619" t="inlineStr">
        <is>
          <t>SOCKS</t>
        </is>
      </c>
      <c r="D619">
        <f>U619</f>
        <v/>
      </c>
      <c r="E619" t="n">
        <v>1118498</v>
      </c>
      <c r="F619" t="inlineStr">
        <is>
          <t>MERINO WOOL EXPEDITION SOCKS WOMEN'S</t>
        </is>
      </c>
      <c r="G619" t="inlineStr">
        <is>
          <t>OTML      RD</t>
        </is>
      </c>
      <c r="H619" t="inlineStr">
        <is>
          <t>RD</t>
        </is>
      </c>
      <c r="I619">
        <f>VLOOKUP(H619,[1]尺寸簡表!$C$3:$D$1263,2,0)</f>
        <v/>
      </c>
      <c r="J619" t="n">
        <v>1150</v>
      </c>
      <c r="K619" t="inlineStr">
        <is>
          <t>◎ 超極厚手，材質：羊毛68%＋尼龍26%＋聚酯纖維5%＋聚氨酯1%。</t>
        </is>
      </c>
    </row>
    <row r="620">
      <c r="A620" t="inlineStr"/>
      <c r="B620" t="inlineStr"/>
      <c r="C620" t="inlineStr">
        <is>
          <t>SOCKS</t>
        </is>
      </c>
      <c r="D620">
        <f>U620</f>
        <v/>
      </c>
      <c r="E620" t="n">
        <v>1108767</v>
      </c>
      <c r="F620" t="inlineStr">
        <is>
          <t>MERINO WOOL JACQUARD LEG WARMERS</t>
        </is>
      </c>
      <c r="G620" t="inlineStr">
        <is>
          <t>DGY      GY      LGY      TN</t>
        </is>
      </c>
      <c r="H620" t="inlineStr">
        <is>
          <t>LGY      DGY</t>
        </is>
      </c>
      <c r="J620" t="n">
        <v>1080</v>
      </c>
      <c r="K620" t="inlineStr">
        <is>
          <t>◎ 小腿圍尺寸：28~40cm。
◎ 材質：美麗諾羊毛。小腿套讓腿部保持溫暖。</t>
        </is>
      </c>
    </row>
    <row r="621">
      <c r="A621" t="inlineStr"/>
      <c r="B621" t="inlineStr"/>
      <c r="C621" t="inlineStr">
        <is>
          <t>SOCKS</t>
        </is>
      </c>
      <c r="D621">
        <f>U621</f>
        <v/>
      </c>
      <c r="E621" t="n">
        <v>1118972</v>
      </c>
      <c r="F621" t="inlineStr">
        <is>
          <t>MERINO WOOL LIGHT WEIGHT 5 TOE SOCKS</t>
        </is>
      </c>
      <c r="G621" t="inlineStr">
        <is>
          <t>GY      NV</t>
        </is>
      </c>
      <c r="H621" t="inlineStr">
        <is>
          <t>NV</t>
        </is>
      </c>
      <c r="I621">
        <f>VLOOKUP(H621,[1]尺寸簡表!$C$3:$D$1263,2,0)</f>
        <v/>
      </c>
      <c r="J621" t="n">
        <v>720</v>
      </c>
      <c r="K621" t="inlineStr">
        <is>
          <t>◎ 極薄手，材質：羊毛70%＋尼龍12%＋聚酯纖維16%＋聚氨酯2%。</t>
        </is>
      </c>
    </row>
    <row r="622">
      <c r="A622" t="inlineStr"/>
      <c r="B622" t="inlineStr"/>
      <c r="C622" t="inlineStr">
        <is>
          <t>SOCKS</t>
        </is>
      </c>
      <c r="D622">
        <f>U622</f>
        <v/>
      </c>
      <c r="E622" t="n">
        <v>1118378</v>
      </c>
      <c r="F622" t="inlineStr">
        <is>
          <t>MERINO WOOL SUPPORTEC FULL PILE SNOW SPORT SOCKS</t>
        </is>
      </c>
      <c r="G622" t="inlineStr">
        <is>
          <t>HCH      OVGN</t>
        </is>
      </c>
      <c r="H622" t="inlineStr">
        <is>
          <t>OVGN</t>
        </is>
      </c>
      <c r="I622">
        <f>VLOOKUP(H622,[1]尺寸簡表!$C$3:$D$1263,2,0)</f>
        <v/>
      </c>
      <c r="J622" t="n">
        <v>970</v>
      </c>
      <c r="K622" t="inlineStr">
        <is>
          <t>◎ 厚手，材質：羊毛59%＋尼龍21%＋聚酯纖維8%＋壓克力紗8%+聚氨酯4%。</t>
        </is>
      </c>
    </row>
    <row r="623">
      <c r="A623" t="inlineStr"/>
      <c r="B623" t="inlineStr"/>
      <c r="C623" t="inlineStr">
        <is>
          <t>SOCKS</t>
        </is>
      </c>
      <c r="D623">
        <f>U623</f>
        <v/>
      </c>
      <c r="E623" t="n">
        <v>1108808</v>
      </c>
      <c r="F623" t="inlineStr">
        <is>
          <t>MERINO WOOL SUPPORTEC WALKING SHORT SOCKS</t>
        </is>
      </c>
      <c r="G623" t="inlineStr">
        <is>
          <t>CHGY      NV</t>
        </is>
      </c>
      <c r="H623" t="inlineStr">
        <is>
          <t>NV</t>
        </is>
      </c>
      <c r="I623">
        <f>VLOOKUP(H623,[1]尺寸簡表!$C$3:$D$1263,2,0)</f>
        <v/>
      </c>
      <c r="J623" t="n">
        <v>680</v>
      </c>
      <c r="K623" t="inlineStr">
        <is>
          <t>◎ 中厚手，材質：羊毛44%＋尼龍31%＋壓克力紗14%＋聚酯纖維7%＋聚氨酯4%。</t>
        </is>
      </c>
    </row>
    <row r="624">
      <c r="A624" t="inlineStr"/>
      <c r="B624" t="inlineStr"/>
      <c r="C624" t="inlineStr">
        <is>
          <t>SOCKS</t>
        </is>
      </c>
      <c r="D624">
        <f>U624</f>
        <v/>
      </c>
      <c r="E624" t="n">
        <v>1108809</v>
      </c>
      <c r="F624" t="inlineStr">
        <is>
          <t>MERINO WOOL SUPPORTEC WALKING SOCKS</t>
        </is>
      </c>
      <c r="G624" t="inlineStr">
        <is>
          <t>CHGY      NV</t>
        </is>
      </c>
      <c r="H624" t="inlineStr">
        <is>
          <t>NV</t>
        </is>
      </c>
      <c r="I624">
        <f>VLOOKUP(H624,[1]尺寸簡表!$C$3:$D$1263,2,0)</f>
        <v/>
      </c>
      <c r="J624" t="n">
        <v>760</v>
      </c>
      <c r="K624" t="inlineStr">
        <is>
          <t>◎ 中厚手，材質：羊毛50%＋尼龍27%＋壓克力紗11%＋聚酯纖維8%＋聚氨酯4%。</t>
        </is>
      </c>
    </row>
    <row r="625">
      <c r="A625" t="inlineStr"/>
      <c r="B625" t="inlineStr"/>
      <c r="C625" t="inlineStr">
        <is>
          <t>SOCKS</t>
        </is>
      </c>
      <c r="D625">
        <f>U625</f>
        <v/>
      </c>
      <c r="E625" t="n">
        <v>1118616</v>
      </c>
      <c r="F625" t="inlineStr">
        <is>
          <t>MERINO WOOL TRAVEL 5 TOE ANKLE SOCKS MEN'S</t>
        </is>
      </c>
      <c r="G625" t="inlineStr">
        <is>
          <t>DTL      HCH</t>
        </is>
      </c>
      <c r="H625" t="inlineStr">
        <is>
          <t>HCH</t>
        </is>
      </c>
      <c r="I625">
        <f>VLOOKUP(H625,[1]尺寸簡表!$C$3:$D$1263,2,0)</f>
        <v/>
      </c>
      <c r="J625" t="n">
        <v>490</v>
      </c>
      <c r="K625" t="inlineStr">
        <is>
          <t>◎ 薄手，材質：羊毛52%＋尼龍18%＋聚酯纖維21%＋聚氨酯9%。</t>
        </is>
      </c>
    </row>
    <row r="626">
      <c r="A626" t="inlineStr">
        <is>
          <t>促銷款</t>
        </is>
      </c>
      <c r="B626" t="inlineStr">
        <is>
          <t>活動款</t>
        </is>
      </c>
      <c r="C626" t="inlineStr">
        <is>
          <t>SOCKS</t>
        </is>
      </c>
      <c r="D626">
        <f>U626</f>
        <v/>
      </c>
      <c r="E626" t="n">
        <v>1118615</v>
      </c>
      <c r="F626" t="inlineStr">
        <is>
          <t>MERINO WOOL TRAVEL 5 TOE SOCKS MEN'S</t>
        </is>
      </c>
      <c r="G626" t="inlineStr">
        <is>
          <t>DGY      GY      TN</t>
        </is>
      </c>
      <c r="H626" t="inlineStr">
        <is>
          <t>TN</t>
        </is>
      </c>
      <c r="I626">
        <f>VLOOKUP(H626,[1]尺寸簡表!$C$3:$D$1263,2,0)</f>
        <v/>
      </c>
      <c r="J626" t="n">
        <v>560</v>
      </c>
      <c r="K626" t="inlineStr">
        <is>
          <t>◎ 薄手，材質：羊毛57%＋尼龍14%＋聚酯纖維25%＋聚氨酯4%。</t>
        </is>
      </c>
    </row>
    <row r="627">
      <c r="A627" t="inlineStr">
        <is>
          <t>促銷款</t>
        </is>
      </c>
      <c r="B627" t="inlineStr">
        <is>
          <t>活動款</t>
        </is>
      </c>
      <c r="C627" t="inlineStr">
        <is>
          <t>SOCKS</t>
        </is>
      </c>
      <c r="D627">
        <f>U627</f>
        <v/>
      </c>
      <c r="E627" t="n">
        <v>1118870</v>
      </c>
      <c r="F627" t="inlineStr">
        <is>
          <t>MERINO WOOL TRAVEL 5 TOE SOCKS WOMEN'S</t>
        </is>
      </c>
      <c r="G627" t="inlineStr">
        <is>
          <t>NV      TN</t>
        </is>
      </c>
      <c r="H627" t="inlineStr">
        <is>
          <t>TN</t>
        </is>
      </c>
      <c r="I627">
        <f>VLOOKUP(H627,[1]尺寸簡表!$C$3:$D$1263,2,0)</f>
        <v/>
      </c>
      <c r="J627" t="n">
        <v>560</v>
      </c>
      <c r="K627" t="inlineStr">
        <is>
          <t>◎ 薄手，材質：羊毛57%＋尼龍14%＋聚酯纖維25%＋聚氨酯4%。</t>
        </is>
      </c>
    </row>
    <row r="628">
      <c r="A628" t="inlineStr"/>
      <c r="B628" t="inlineStr"/>
      <c r="C628" t="inlineStr">
        <is>
          <t>SOCKS</t>
        </is>
      </c>
      <c r="D628">
        <f>U628</f>
        <v/>
      </c>
      <c r="E628" t="n">
        <v>1118432</v>
      </c>
      <c r="F628" t="inlineStr">
        <is>
          <t>MERINO WOOL TRAVEL ANKLE SOCKS MEN'S</t>
        </is>
      </c>
      <c r="G628" t="inlineStr">
        <is>
          <t>BK      BL      CH      DTL</t>
        </is>
      </c>
      <c r="H628" t="inlineStr">
        <is>
          <t>CH</t>
        </is>
      </c>
      <c r="I628">
        <f>VLOOKUP(H628,[1]尺寸簡表!$C$3:$D$1263,2,0)</f>
        <v/>
      </c>
      <c r="J628" t="n">
        <v>400</v>
      </c>
      <c r="K628" t="inlineStr">
        <is>
          <t>◎ 薄手，材質：羊毛51%＋尼龍16%＋聚酯纖維21%＋聚氨酯12%。</t>
        </is>
      </c>
    </row>
    <row r="629">
      <c r="A629" t="inlineStr"/>
      <c r="B629" t="inlineStr"/>
      <c r="C629" t="inlineStr">
        <is>
          <t>SOCKS</t>
        </is>
      </c>
      <c r="D629">
        <f>U629</f>
        <v/>
      </c>
      <c r="E629" t="n">
        <v>1118433</v>
      </c>
      <c r="F629" t="inlineStr">
        <is>
          <t>MERINO WOOL TRAVEL ANKLE SOCKS WOMEN'S</t>
        </is>
      </c>
      <c r="G629" t="inlineStr">
        <is>
          <t>DTL      IV      NV      RD</t>
        </is>
      </c>
      <c r="H629" t="inlineStr">
        <is>
          <t>DTL</t>
        </is>
      </c>
      <c r="I629">
        <f>VLOOKUP(H629,[1]尺寸簡表!$C$3:$D$1263,2,0)</f>
        <v/>
      </c>
      <c r="J629" t="n">
        <v>460</v>
      </c>
      <c r="K629" t="inlineStr">
        <is>
          <t>◎ 薄手，BL、GY：羊毛50%＋尼龍27%＋聚酯纖維19%＋聚氨酯4%。
WRD：羊毛42%＋尼龍35%＋聚酯纖維20%＋聚氨酯3%。</t>
        </is>
      </c>
    </row>
    <row r="630">
      <c r="A630" t="inlineStr"/>
      <c r="B630" t="inlineStr"/>
      <c r="C630" t="inlineStr">
        <is>
          <t>SOCKS</t>
        </is>
      </c>
      <c r="D630">
        <f>U630</f>
        <v/>
      </c>
      <c r="E630" t="n">
        <v>1118428</v>
      </c>
      <c r="F630" t="inlineStr">
        <is>
          <t>MERINO WOOL TRAVEL SOCKS MEN'S</t>
        </is>
      </c>
      <c r="G630" t="inlineStr">
        <is>
          <t>BK      BL      CH      DTL</t>
        </is>
      </c>
      <c r="H630" t="inlineStr">
        <is>
          <t>BK</t>
        </is>
      </c>
      <c r="I630">
        <f>VLOOKUP(H630,[1]尺寸簡表!$C$3:$D$1263,2,0)</f>
        <v/>
      </c>
      <c r="J630" t="n">
        <v>560</v>
      </c>
      <c r="K630" t="inlineStr">
        <is>
          <t>◎ 薄手，材質：羊毛52%＋尼龍15%＋聚酯纖維21%＋聚氨酯12%。</t>
        </is>
      </c>
    </row>
    <row r="631">
      <c r="A631" t="inlineStr"/>
      <c r="B631" t="inlineStr"/>
      <c r="C631" t="inlineStr">
        <is>
          <t>SOCKS</t>
        </is>
      </c>
      <c r="D631">
        <f>U631</f>
        <v/>
      </c>
      <c r="E631" t="n">
        <v>1118429</v>
      </c>
      <c r="F631" t="inlineStr">
        <is>
          <t>MERINO WOOL TRAVEL SOCKS WOMEN'S</t>
        </is>
      </c>
      <c r="G631" t="inlineStr">
        <is>
          <t>DTL      IV      NV      RD</t>
        </is>
      </c>
      <c r="H631" t="inlineStr">
        <is>
          <t>DTL</t>
        </is>
      </c>
      <c r="I631">
        <f>VLOOKUP(H631,[1]尺寸簡表!$C$3:$D$1263,2,0)</f>
        <v/>
      </c>
      <c r="J631" t="n">
        <v>560</v>
      </c>
      <c r="K631" t="inlineStr">
        <is>
          <t>◎ 薄手，BL、GY：羊毛50%＋尼龍27%＋聚酯纖維19%＋聚氨酯4%。
WRD：羊毛40%＋尼龍35%＋聚酯纖維22%＋聚氨酯3%。</t>
        </is>
      </c>
    </row>
    <row r="632">
      <c r="A632" t="inlineStr">
        <is>
          <t>促銷款</t>
        </is>
      </c>
      <c r="B632" t="inlineStr">
        <is>
          <t>活動款</t>
        </is>
      </c>
      <c r="C632" t="inlineStr">
        <is>
          <t>SOCKS</t>
        </is>
      </c>
      <c r="D632">
        <f>U632</f>
        <v/>
      </c>
      <c r="E632" t="n">
        <v>1118614</v>
      </c>
      <c r="F632" t="inlineStr">
        <is>
          <t>MERINO WOOL TREKKING 5 TOE SOCKS MEN'S</t>
        </is>
      </c>
      <c r="G632" t="inlineStr">
        <is>
          <t>BK      HCH      IND</t>
        </is>
      </c>
      <c r="H632" t="inlineStr">
        <is>
          <t>HCH</t>
        </is>
      </c>
      <c r="I632">
        <f>VLOOKUP(H632,[1]尺寸簡表!$C$3:$D$1263,2,0)</f>
        <v/>
      </c>
      <c r="J632" t="n">
        <v>760</v>
      </c>
      <c r="K632" t="inlineStr">
        <is>
          <t>◎ 厚手，材質：羊毛52%＋尼龍30%＋聚酯纖維9%＋聚氨酯9%。</t>
        </is>
      </c>
    </row>
    <row r="633">
      <c r="A633" t="inlineStr">
        <is>
          <t>促銷款</t>
        </is>
      </c>
      <c r="B633" t="inlineStr">
        <is>
          <t>活動款</t>
        </is>
      </c>
      <c r="C633" t="inlineStr">
        <is>
          <t>SOCKS</t>
        </is>
      </c>
      <c r="D633">
        <f>U633</f>
        <v/>
      </c>
      <c r="E633" t="n">
        <v>1118619</v>
      </c>
      <c r="F633" t="inlineStr">
        <is>
          <t>MERINO WOOL TREKKING 5 TOE SOCKS WOMEN'S</t>
        </is>
      </c>
      <c r="G633" t="inlineStr">
        <is>
          <t>BNSD      CBL</t>
        </is>
      </c>
      <c r="H633" t="inlineStr">
        <is>
          <t>BNSD</t>
        </is>
      </c>
      <c r="I633">
        <f>VLOOKUP(H633,[1]尺寸簡表!$C$3:$D$1263,2,0)</f>
        <v/>
      </c>
      <c r="J633" t="n">
        <v>760</v>
      </c>
      <c r="K633" t="inlineStr">
        <is>
          <t>◎ 厚手，材質：羊毛52%＋尼龍15%＋聚酯纖維21%＋聚氨酯12%。</t>
        </is>
      </c>
    </row>
    <row r="634">
      <c r="A634" t="inlineStr">
        <is>
          <t>26FW</t>
        </is>
      </c>
      <c r="B634" t="inlineStr">
        <is>
          <t>26FW</t>
        </is>
      </c>
      <c r="C634" t="inlineStr">
        <is>
          <t>SOCKS</t>
        </is>
      </c>
      <c r="D634">
        <f>U634</f>
        <v/>
      </c>
      <c r="E634" t="n">
        <v>1119219</v>
      </c>
      <c r="F634" t="inlineStr">
        <is>
          <t>MERINO WOOL TREKKING SHORT SOCKS MEN'S</t>
        </is>
      </c>
      <c r="G634" t="inlineStr">
        <is>
          <t>BGN      BK      GY      IV      NV</t>
        </is>
      </c>
      <c r="H634" t="inlineStr">
        <is>
          <t>BGN</t>
        </is>
      </c>
      <c r="I634">
        <f>VLOOKUP(H634,[1]尺寸簡表!$C$3:$D$1263,2,0)</f>
        <v/>
      </c>
      <c r="J634" t="n">
        <v>480</v>
      </c>
      <c r="K634" t="inlineStr">
        <is>
          <t>◎ 厚手羊毛襪。</t>
        </is>
      </c>
    </row>
    <row r="635">
      <c r="A635" t="inlineStr">
        <is>
          <t>26FW</t>
        </is>
      </c>
      <c r="B635" t="inlineStr">
        <is>
          <t>26FW</t>
        </is>
      </c>
      <c r="C635" t="inlineStr">
        <is>
          <t>SOCKS</t>
        </is>
      </c>
      <c r="D635">
        <f>U635</f>
        <v/>
      </c>
      <c r="E635" t="n">
        <v>1119220</v>
      </c>
      <c r="F635" t="inlineStr">
        <is>
          <t>MERINO WOOL TREKKING SHORT SOCKS WOMEN'S</t>
        </is>
      </c>
      <c r="G635" t="inlineStr">
        <is>
          <t>BL      DGY      OG      TN</t>
        </is>
      </c>
      <c r="H635" t="inlineStr">
        <is>
          <t>TN</t>
        </is>
      </c>
      <c r="I635">
        <f>VLOOKUP(H635,[1]尺寸簡表!$C$3:$D$1263,2,0)</f>
        <v/>
      </c>
      <c r="J635" t="n">
        <v>480</v>
      </c>
      <c r="K635" t="inlineStr">
        <is>
          <t>◎ 厚手羊毛襪。</t>
        </is>
      </c>
    </row>
    <row r="636">
      <c r="A636" t="inlineStr">
        <is>
          <t>促銷款</t>
        </is>
      </c>
      <c r="B636" t="inlineStr">
        <is>
          <t>活動款</t>
        </is>
      </c>
      <c r="C636" t="inlineStr">
        <is>
          <t>SOCKS</t>
        </is>
      </c>
      <c r="D636">
        <f>U636</f>
        <v/>
      </c>
      <c r="E636" t="n">
        <v>1118421</v>
      </c>
      <c r="F636" t="inlineStr">
        <is>
          <t>MERINO WOOL TREKKING SOCKS MEN'S</t>
        </is>
      </c>
      <c r="G636" t="inlineStr">
        <is>
          <t>BG      BKH      HCH      IND      SLBL</t>
        </is>
      </c>
      <c r="H636" t="inlineStr">
        <is>
          <t>HCH</t>
        </is>
      </c>
      <c r="I636">
        <f>VLOOKUP(H636,[1]尺寸簡表!$C$3:$D$1263,2,0)</f>
        <v/>
      </c>
      <c r="J636" t="n">
        <v>690</v>
      </c>
      <c r="K636" t="inlineStr">
        <is>
          <t>◎ 厚手，材質：羊毛58%＋尼龍26%＋聚酯纖維14%＋聚氨酯2%。</t>
        </is>
      </c>
    </row>
    <row r="637">
      <c r="A637" t="inlineStr">
        <is>
          <t>促銷款</t>
        </is>
      </c>
      <c r="B637" t="inlineStr">
        <is>
          <t>活動款</t>
        </is>
      </c>
      <c r="C637" t="inlineStr">
        <is>
          <t>SOCKS</t>
        </is>
      </c>
      <c r="D637">
        <f>U637</f>
        <v/>
      </c>
      <c r="E637" t="n">
        <v>1118422</v>
      </c>
      <c r="F637" t="inlineStr">
        <is>
          <t>MERINO WOOL TREKKING SOCKS WOMEN'S</t>
        </is>
      </c>
      <c r="G637" t="inlineStr">
        <is>
          <t>BNSD      CBL      GM      OG</t>
        </is>
      </c>
      <c r="I637">
        <f>VLOOKUP(H637,[1]尺寸簡表!$C$3:$D$1263,2,0)</f>
        <v/>
      </c>
      <c r="J637" t="n">
        <v>690</v>
      </c>
      <c r="K637" t="inlineStr">
        <is>
          <t>◎ 厚手，材質：羊毛61%＋尼龍25%＋聚酯纖維13%＋聚氨酯1%。</t>
        </is>
      </c>
    </row>
    <row r="638">
      <c r="A638" t="inlineStr"/>
      <c r="B638" t="inlineStr"/>
      <c r="C638" t="inlineStr">
        <is>
          <t>SOCKS</t>
        </is>
      </c>
      <c r="D638">
        <f>U638</f>
        <v/>
      </c>
      <c r="E638" t="n">
        <v>1118534</v>
      </c>
      <c r="F638" t="inlineStr">
        <is>
          <t>MERINO WOOL WALKING SHORT SOCKS MEN'S</t>
        </is>
      </c>
      <c r="G638" t="inlineStr">
        <is>
          <t>BKH      DKOV      IV      MST</t>
        </is>
      </c>
      <c r="H638" t="inlineStr">
        <is>
          <t>IV</t>
        </is>
      </c>
      <c r="I638">
        <f>VLOOKUP(H638,[1]尺寸簡表!$C$3:$D$1263,2,0)</f>
        <v/>
      </c>
      <c r="J638" t="n">
        <v>530</v>
      </c>
      <c r="K638" t="inlineStr">
        <is>
          <t>◎ 中厚手，材質：羊毛55%＋尼龍31%＋聚酯纖維13%＋聚氨酯1%。</t>
        </is>
      </c>
    </row>
    <row r="639">
      <c r="A639" t="inlineStr"/>
      <c r="B639" t="inlineStr"/>
      <c r="C639" t="inlineStr">
        <is>
          <t>SOCKS</t>
        </is>
      </c>
      <c r="D639">
        <f>U639</f>
        <v/>
      </c>
      <c r="E639" t="n">
        <v>1118535</v>
      </c>
      <c r="F639" t="inlineStr">
        <is>
          <t>MERINO WOOL WALKING SHORT SOCKS WOMEN'S</t>
        </is>
      </c>
      <c r="G639" t="inlineStr">
        <is>
          <t>BL      DGN      DGY1      MST</t>
        </is>
      </c>
      <c r="I639">
        <f>VLOOKUP(H639,[1]尺寸簡表!$C$3:$D$1263,2,0)</f>
        <v/>
      </c>
      <c r="J639" t="n">
        <v>530</v>
      </c>
      <c r="K639" t="inlineStr">
        <is>
          <t>◎ 中厚手
DGN、DGY：羊毛53%＋尼龍35%＋聚酯纖維11%＋聚氨酯，RD24、IV、RD：羊毛57%＋尼龍31%＋聚酯纖維11%＋聚氨酯1%，GRPH：羊毛51%＋尼龍37%＋聚酯纖維11%＋聚氨酯1%。</t>
        </is>
      </c>
    </row>
    <row r="640">
      <c r="A640" t="inlineStr">
        <is>
          <t>促銷款</t>
        </is>
      </c>
      <c r="B640" t="inlineStr">
        <is>
          <t>活動款</t>
        </is>
      </c>
      <c r="C640" t="inlineStr">
        <is>
          <t>SOCKS</t>
        </is>
      </c>
      <c r="D640">
        <f>U640</f>
        <v/>
      </c>
      <c r="E640" t="n">
        <v>1118424</v>
      </c>
      <c r="F640" t="inlineStr">
        <is>
          <t>MERINO WOOL WALKING SOCKS MEN'S</t>
        </is>
      </c>
      <c r="G640" t="inlineStr">
        <is>
          <t>BK      DKOV      IV      MST</t>
        </is>
      </c>
      <c r="H640" t="inlineStr">
        <is>
          <t>BK</t>
        </is>
      </c>
      <c r="I640">
        <f>VLOOKUP(H640,[1]尺寸簡表!$C$3:$D$1263,2,0)</f>
        <v/>
      </c>
      <c r="J640" t="n">
        <v>600</v>
      </c>
      <c r="K640" t="inlineStr">
        <is>
          <t>◎ 中厚手，材質：羊毛55%＋尼龍25%＋聚酯纖維18%＋聚氨酯2%。</t>
        </is>
      </c>
    </row>
    <row r="641">
      <c r="A641" t="inlineStr">
        <is>
          <t>促銷款</t>
        </is>
      </c>
      <c r="B641" t="inlineStr">
        <is>
          <t>活動款</t>
        </is>
      </c>
      <c r="C641" t="inlineStr">
        <is>
          <t>SOCKS</t>
        </is>
      </c>
      <c r="D641">
        <f>U641</f>
        <v/>
      </c>
      <c r="E641" t="n">
        <v>1118425</v>
      </c>
      <c r="F641" t="inlineStr">
        <is>
          <t>MERINO WOOL WALKING SOCKS WOMEN'S</t>
        </is>
      </c>
      <c r="G641" t="inlineStr">
        <is>
          <t>BL      DGN      DGY1      MST</t>
        </is>
      </c>
      <c r="H641" t="inlineStr">
        <is>
          <t>BL</t>
        </is>
      </c>
      <c r="I641">
        <f>VLOOKUP(H641,[1]尺寸簡表!$C$3:$D$1263,2,0)</f>
        <v/>
      </c>
      <c r="J641" t="n">
        <v>600</v>
      </c>
      <c r="K641" t="inlineStr">
        <is>
          <t>◎ 中厚手。DGN、RD24：羊毛57%＋尼龍26%＋聚酯纖維15%＋聚氨酯2%，DGY：羊毛51%＋尼龍30%＋聚酯纖維16%＋聚氨酯3%，RD：羊毛49%＋尼龍34%＋聚酯纖維15%＋聚氨酯2%，GRPH、IV：羊毛58%＋尼龍25%＋聚酯纖維15%＋聚氨酯2%。</t>
        </is>
      </c>
    </row>
    <row r="642">
      <c r="A642" t="inlineStr"/>
      <c r="B642" t="inlineStr"/>
      <c r="C642" t="inlineStr">
        <is>
          <t>SOCKS</t>
        </is>
      </c>
      <c r="D642">
        <f>U642</f>
        <v/>
      </c>
      <c r="E642" t="n">
        <v>1118198</v>
      </c>
      <c r="F642" t="inlineStr">
        <is>
          <t>REVERSIBLE EXCELOFT LEG WARMERS</t>
        </is>
      </c>
      <c r="G642" t="inlineStr">
        <is>
          <t>DN/TB      GM/RB      PU24</t>
        </is>
      </c>
      <c r="H642" t="inlineStr">
        <is>
          <t>PU24</t>
        </is>
      </c>
      <c r="I642">
        <f>VLOOKUP(H642,[1]尺寸簡表!$C$3:$D$1263,2,0)</f>
        <v/>
      </c>
      <c r="J642" t="n">
        <v>1340</v>
      </c>
      <c r="K642" t="inlineStr">
        <is>
          <t>◎ S/M（28~34cm）、M/L（34~40cm）。可雙面穿的保暖襪套。
◎ 表布：20D Ballistic®抗靜電尼龍布（撥水加工）、內裡：40D 尼龍布料、填充：EXCELOFT®化纖。</t>
        </is>
      </c>
    </row>
    <row r="643">
      <c r="A643" t="inlineStr">
        <is>
          <t>27SS</t>
        </is>
      </c>
      <c r="B643" t="inlineStr">
        <is>
          <t>27SS</t>
        </is>
      </c>
      <c r="C643" t="inlineStr">
        <is>
          <t>SOCKS</t>
        </is>
      </c>
      <c r="D643">
        <f>U643</f>
        <v/>
      </c>
      <c r="E643" t="n">
        <v>1119251</v>
      </c>
      <c r="F643" t="inlineStr">
        <is>
          <t>WICKRON ALPINE HIGH SOCKS MEN'S</t>
        </is>
      </c>
      <c r="G643" t="inlineStr">
        <is>
          <t>BL      DGY</t>
        </is>
      </c>
      <c r="H643" t="inlineStr">
        <is>
          <t>BL</t>
        </is>
      </c>
      <c r="I643">
        <f>VLOOKUP(H643,[1]尺寸簡表!$C$3:$D$1263,2,0)</f>
        <v/>
      </c>
      <c r="J643" t="n">
        <v>870</v>
      </c>
      <c r="K643" t="inlineStr">
        <is>
          <t>◎薄手，wickron®(聚酯纖維)：尼龍30%＋壓克力紗53%＋聚酯纖維9%＋羊毛7%＋聚氨酯1%。</t>
        </is>
      </c>
    </row>
    <row r="644">
      <c r="A644" t="inlineStr">
        <is>
          <t>27SS</t>
        </is>
      </c>
      <c r="B644" t="inlineStr">
        <is>
          <t>27SS</t>
        </is>
      </c>
      <c r="C644" t="inlineStr">
        <is>
          <t>SOCKS</t>
        </is>
      </c>
      <c r="D644">
        <f>U644</f>
        <v/>
      </c>
      <c r="E644" t="n">
        <v>1119249</v>
      </c>
      <c r="F644" t="inlineStr">
        <is>
          <t>WICKRON ALPINE SOCKS MEN'S</t>
        </is>
      </c>
      <c r="G644" t="inlineStr">
        <is>
          <t>BL      DGY      LGY</t>
        </is>
      </c>
      <c r="H644" t="inlineStr">
        <is>
          <t>BL</t>
        </is>
      </c>
      <c r="I644">
        <f>VLOOKUP(H644,[1]尺寸簡表!$C$3:$D$1263,2,0)</f>
        <v/>
      </c>
      <c r="J644" t="n">
        <v>700</v>
      </c>
      <c r="K644" t="inlineStr">
        <is>
          <t>◎極厚手，wickron®(聚酯纖維)：尼龍33%＋壓克力紗50%＋聚酯纖維9%＋羊毛7%＋聚氨酯1%。</t>
        </is>
      </c>
    </row>
    <row r="645">
      <c r="A645" t="inlineStr">
        <is>
          <t>27SS</t>
        </is>
      </c>
      <c r="B645" t="inlineStr">
        <is>
          <t>27SS</t>
        </is>
      </c>
      <c r="C645" t="inlineStr">
        <is>
          <t>SOCKS</t>
        </is>
      </c>
      <c r="D645">
        <f>U645</f>
        <v/>
      </c>
      <c r="E645" t="n">
        <v>1119250</v>
      </c>
      <c r="F645" t="inlineStr">
        <is>
          <t>WICKRON ALPINE SOCKS WOMEN'S</t>
        </is>
      </c>
      <c r="G645" t="inlineStr">
        <is>
          <t>BN      DNV      TQ</t>
        </is>
      </c>
      <c r="H645" t="inlineStr">
        <is>
          <t>TQ</t>
        </is>
      </c>
      <c r="I645">
        <f>VLOOKUP(H645,[1]尺寸簡表!$C$3:$D$1263,2,0)</f>
        <v/>
      </c>
      <c r="J645" t="n">
        <v>670</v>
      </c>
      <c r="K645" t="inlineStr">
        <is>
          <t>◎極厚手，wickron®(聚酯纖維)：尼龍30%＋壓克力紗53%＋聚酯纖維9%＋羊毛7%＋聚氨酯1%。</t>
        </is>
      </c>
    </row>
    <row r="646">
      <c r="A646" t="inlineStr"/>
      <c r="B646" t="inlineStr"/>
      <c r="C646" t="inlineStr">
        <is>
          <t>SOCKS</t>
        </is>
      </c>
      <c r="D646">
        <f>U646</f>
        <v/>
      </c>
      <c r="E646" t="n">
        <v>1119247</v>
      </c>
      <c r="F646" t="inlineStr">
        <is>
          <t>WICKRON EXPEDITION HIGH SOCKS MEN'S</t>
        </is>
      </c>
      <c r="G646" t="inlineStr">
        <is>
          <t>GY</t>
        </is>
      </c>
      <c r="H646" t="inlineStr">
        <is>
          <t>GY</t>
        </is>
      </c>
      <c r="I646">
        <f>VLOOKUP(H646,[1]尺寸簡表!$C$3:$D$1263,2,0)</f>
        <v/>
      </c>
      <c r="J646" t="n">
        <v>1000</v>
      </c>
      <c r="K646" t="inlineStr">
        <is>
          <t>◎超極厚手，wickron®(聚酯纖維)：尼龍27%＋壓克力紗57%＋聚酯纖維7%＋羊毛8%＋聚氨酯1%。</t>
        </is>
      </c>
    </row>
    <row r="647">
      <c r="A647" t="inlineStr">
        <is>
          <t>27SS</t>
        </is>
      </c>
      <c r="B647" t="inlineStr">
        <is>
          <t>27SS</t>
        </is>
      </c>
      <c r="C647" t="inlineStr">
        <is>
          <t>SOCKS</t>
        </is>
      </c>
      <c r="D647">
        <f>U647</f>
        <v/>
      </c>
      <c r="E647" t="n">
        <v>1119245</v>
      </c>
      <c r="F647" t="inlineStr">
        <is>
          <t>WICKRON EXPEDITION SOCKS MEN'S</t>
        </is>
      </c>
      <c r="G647" t="inlineStr">
        <is>
          <t>GY      NV</t>
        </is>
      </c>
      <c r="H647" t="inlineStr">
        <is>
          <t>NV</t>
        </is>
      </c>
      <c r="I647">
        <f>VLOOKUP(H647,[1]尺寸簡表!$C$3:$D$1263,2,0)</f>
        <v/>
      </c>
      <c r="J647" t="n">
        <v>840</v>
      </c>
      <c r="K647" t="inlineStr">
        <is>
          <t>◎超極厚手，wickron®(聚酯纖維)：尼龍27%＋壓克力紗57%＋聚酯纖維7%＋羊毛8%＋聚氨酯1%。</t>
        </is>
      </c>
    </row>
    <row r="648">
      <c r="A648" t="inlineStr">
        <is>
          <t>27SS</t>
        </is>
      </c>
      <c r="B648" t="inlineStr">
        <is>
          <t>27SS</t>
        </is>
      </c>
      <c r="C648" t="inlineStr">
        <is>
          <t>SOCKS</t>
        </is>
      </c>
      <c r="D648">
        <f>U648</f>
        <v/>
      </c>
      <c r="E648" t="n">
        <v>1119246</v>
      </c>
      <c r="F648" t="inlineStr">
        <is>
          <t>WICKRON EXPEDITION SOCKS WOMEN'S</t>
        </is>
      </c>
      <c r="G648" t="inlineStr">
        <is>
          <t>LGN      RAS</t>
        </is>
      </c>
      <c r="H648" t="inlineStr">
        <is>
          <t>LGN</t>
        </is>
      </c>
      <c r="I648">
        <f>VLOOKUP(H648,[1]尺寸簡表!$C$3:$D$1263,2,0)</f>
        <v/>
      </c>
      <c r="J648" t="n">
        <v>760</v>
      </c>
      <c r="K648" t="inlineStr">
        <is>
          <t>◎超極厚手，wickron®(聚酯纖維)：尼龍29%＋壓克力紗58%＋聚酯纖維4%＋羊毛8%＋聚氨酯1%。</t>
        </is>
      </c>
    </row>
    <row r="649">
      <c r="A649" t="inlineStr"/>
      <c r="B649" t="inlineStr"/>
      <c r="C649" t="inlineStr">
        <is>
          <t>SOCKS</t>
        </is>
      </c>
      <c r="D649">
        <f>U649</f>
        <v/>
      </c>
      <c r="E649" t="n">
        <v>1119273</v>
      </c>
      <c r="F649" t="inlineStr">
        <is>
          <t>WICKRON TRAVEL 5 TOE ANKLE SOCKS MEN'S</t>
        </is>
      </c>
      <c r="G649" t="inlineStr">
        <is>
          <t>DGY      DNV      LGY</t>
        </is>
      </c>
      <c r="I649">
        <f>VLOOKUP(H649,[1]尺寸簡表!$C$3:$D$1263,2,0)</f>
        <v/>
      </c>
      <c r="J649" t="n">
        <v>360</v>
      </c>
      <c r="K649" t="inlineStr">
        <is>
          <t>◎薄手，wickron®(聚酯纖維)：尼龍18%＋壓克力紗45%＋聚酯纖維28%＋羊毛6%＋聚氨酯3%。</t>
        </is>
      </c>
    </row>
    <row r="650">
      <c r="A650" t="inlineStr">
        <is>
          <t>27SS</t>
        </is>
      </c>
      <c r="B650" t="inlineStr">
        <is>
          <t>27SS</t>
        </is>
      </c>
      <c r="C650" t="inlineStr">
        <is>
          <t>SOCKS</t>
        </is>
      </c>
      <c r="D650">
        <f>U650</f>
        <v/>
      </c>
      <c r="E650" t="n">
        <v>1119271</v>
      </c>
      <c r="F650" t="inlineStr">
        <is>
          <t>WICKRON TRAVEL 5 TOE SOCKS MEN'S</t>
        </is>
      </c>
      <c r="G650" t="inlineStr">
        <is>
          <t>DGY      DNV      LGY</t>
        </is>
      </c>
      <c r="I650">
        <f>VLOOKUP(H650,[1]尺寸簡表!$C$3:$D$1263,2,0)</f>
        <v/>
      </c>
      <c r="J650" t="n">
        <v>480</v>
      </c>
      <c r="K650" t="inlineStr">
        <is>
          <t>◎薄手，wickron®(聚酯纖維)：尼龍18%＋壓克力紗45%＋聚酯纖維28%＋羊毛6%＋聚氨酯3%。</t>
        </is>
      </c>
    </row>
    <row r="651">
      <c r="A651" t="inlineStr">
        <is>
          <t>27SS</t>
        </is>
      </c>
      <c r="B651" t="inlineStr">
        <is>
          <t>27SS</t>
        </is>
      </c>
      <c r="C651" t="inlineStr">
        <is>
          <t>SOCKS</t>
        </is>
      </c>
      <c r="D651">
        <f>U651</f>
        <v/>
      </c>
      <c r="E651" t="n">
        <v>1119272</v>
      </c>
      <c r="F651" t="inlineStr">
        <is>
          <t>WICKRON TRAVEL 5 TOE SOCKS WOMEN'S</t>
        </is>
      </c>
      <c r="G651" t="inlineStr">
        <is>
          <t>DGY      LGY      RD</t>
        </is>
      </c>
      <c r="I651">
        <f>VLOOKUP(H651,[1]尺寸簡表!$C$3:$D$1263,2,0)</f>
        <v/>
      </c>
      <c r="J651" t="n">
        <v>480</v>
      </c>
      <c r="K651" t="inlineStr">
        <is>
          <t>◎薄手，wickron®(聚酯纖維)：尼龍19%＋壓克力紗48%＋聚酯纖維22%＋羊毛7%＋聚氨酯4%。</t>
        </is>
      </c>
    </row>
    <row r="652">
      <c r="A652" t="inlineStr"/>
      <c r="B652" t="inlineStr"/>
      <c r="C652" t="inlineStr">
        <is>
          <t>SOCKS</t>
        </is>
      </c>
      <c r="D652">
        <f>U652</f>
        <v/>
      </c>
      <c r="E652" t="n">
        <v>1119269</v>
      </c>
      <c r="F652" t="inlineStr">
        <is>
          <t>WICKRON TRAVEL ANKLE SOCKS MEN'S</t>
        </is>
      </c>
      <c r="G652" t="inlineStr">
        <is>
          <t>DGY      DNV      LGY</t>
        </is>
      </c>
      <c r="H652" t="inlineStr">
        <is>
          <t>DGY</t>
        </is>
      </c>
      <c r="I652">
        <f>VLOOKUP(H652,[1]尺寸簡表!$C$3:$D$1263,2,0)</f>
        <v/>
      </c>
      <c r="J652" t="n">
        <v>310</v>
      </c>
      <c r="K652" t="inlineStr">
        <is>
          <t>◎薄手，wickron®(聚酯纖維)：尼龍26%＋壓克力紗45%＋聚酯纖維21%＋羊毛6%＋聚氨酯2%。</t>
        </is>
      </c>
    </row>
    <row r="653">
      <c r="A653" t="inlineStr"/>
      <c r="B653" t="inlineStr"/>
      <c r="C653" t="inlineStr">
        <is>
          <t>SOCKS</t>
        </is>
      </c>
      <c r="D653">
        <f>U653</f>
        <v/>
      </c>
      <c r="E653" t="n">
        <v>1119270</v>
      </c>
      <c r="F653" t="inlineStr">
        <is>
          <t>WICKRON TRAVEL ANKLE SOCKS WOMEN'S</t>
        </is>
      </c>
      <c r="G653" t="inlineStr">
        <is>
          <t>DGY      LGY      RD</t>
        </is>
      </c>
      <c r="H653" t="inlineStr">
        <is>
          <t>DGY</t>
        </is>
      </c>
      <c r="I653">
        <f>VLOOKUP(H653,[1]尺寸簡表!$C$3:$D$1263,2,0)</f>
        <v/>
      </c>
      <c r="J653" t="n">
        <v>310</v>
      </c>
      <c r="K653" t="inlineStr">
        <is>
          <t>◎薄手，wickron®(聚酯纖維)：尼龍38%＋壓克力紗38%＋聚酯纖維16%＋羊毛6%＋聚氨酯2%。</t>
        </is>
      </c>
    </row>
    <row r="654">
      <c r="A654" t="inlineStr">
        <is>
          <t>27SS</t>
        </is>
      </c>
      <c r="B654" t="inlineStr">
        <is>
          <t>27SS</t>
        </is>
      </c>
      <c r="C654" t="inlineStr">
        <is>
          <t>SOCKS</t>
        </is>
      </c>
      <c r="D654">
        <f>U654</f>
        <v/>
      </c>
      <c r="E654" t="n">
        <v>1119267</v>
      </c>
      <c r="F654" t="inlineStr">
        <is>
          <t>WICKRON TRAVEL SOCKS MEN'S</t>
        </is>
      </c>
      <c r="G654" t="inlineStr">
        <is>
          <t>DGY      DNV      LGY</t>
        </is>
      </c>
      <c r="H654" t="inlineStr">
        <is>
          <t>LGY</t>
        </is>
      </c>
      <c r="I654">
        <f>VLOOKUP(H654,[1]尺寸簡表!$C$3:$D$1263,2,0)</f>
        <v/>
      </c>
      <c r="J654" t="n">
        <v>340</v>
      </c>
      <c r="K654" t="inlineStr">
        <is>
          <t>◎薄手，wickron®(聚酯纖維)：尼龍28%＋壓克力紗45%＋聚酯纖維19%＋羊毛6%＋聚氨酯2%。</t>
        </is>
      </c>
    </row>
    <row r="655">
      <c r="A655" t="inlineStr">
        <is>
          <t>27SS</t>
        </is>
      </c>
      <c r="B655" t="inlineStr">
        <is>
          <t>27SS</t>
        </is>
      </c>
      <c r="C655" t="inlineStr">
        <is>
          <t>SOCKS</t>
        </is>
      </c>
      <c r="D655">
        <f>U655</f>
        <v/>
      </c>
      <c r="E655" t="n">
        <v>1119268</v>
      </c>
      <c r="F655" t="inlineStr">
        <is>
          <t>WICKRON TRAVEL SOCKS WOMEN'S</t>
        </is>
      </c>
      <c r="G655" t="inlineStr">
        <is>
          <t>DGY      LGY      RD</t>
        </is>
      </c>
      <c r="H655" t="inlineStr">
        <is>
          <t>RD</t>
        </is>
      </c>
      <c r="I655">
        <f>VLOOKUP(H655,[1]尺寸簡表!$C$3:$D$1263,2,0)</f>
        <v/>
      </c>
      <c r="J655" t="n">
        <v>360</v>
      </c>
      <c r="K655" t="inlineStr">
        <is>
          <t>◎薄手，wickron®(聚酯纖維)：尼龍33%＋壓克力紗41%＋聚酯纖維18%＋羊毛6%＋聚氨酯2%。</t>
        </is>
      </c>
    </row>
    <row r="656">
      <c r="A656" t="inlineStr"/>
      <c r="B656" t="inlineStr"/>
      <c r="C656" t="inlineStr">
        <is>
          <t>SOCKS</t>
        </is>
      </c>
      <c r="D656">
        <f>U656</f>
        <v/>
      </c>
      <c r="E656" t="n">
        <v>1119275</v>
      </c>
      <c r="F656" t="inlineStr">
        <is>
          <t>WICKRON TRAVEL SPLIT TOE ANKLE SOCKS MEN'S</t>
        </is>
      </c>
      <c r="G656" t="inlineStr">
        <is>
          <t>BK      LGY</t>
        </is>
      </c>
      <c r="H656" t="inlineStr">
        <is>
          <t>BK</t>
        </is>
      </c>
      <c r="I656">
        <f>VLOOKUP(H656,[1]尺寸簡表!$C$3:$D$1263,2,0)</f>
        <v/>
      </c>
      <c r="J656" t="n">
        <v>340</v>
      </c>
      <c r="K656" t="inlineStr">
        <is>
          <t>◎ 薄手，wickron®(聚酯纖維)：壓克力45%＋尼龍26%＋聚酯纖維21%＋羊毛6%＋聚氨酯2%。</t>
        </is>
      </c>
    </row>
    <row r="657">
      <c r="A657" t="inlineStr">
        <is>
          <t>27SS</t>
        </is>
      </c>
      <c r="B657" t="inlineStr">
        <is>
          <t>27SS</t>
        </is>
      </c>
      <c r="C657" t="inlineStr">
        <is>
          <t>SOCKS</t>
        </is>
      </c>
      <c r="D657">
        <f>U657</f>
        <v/>
      </c>
      <c r="E657" t="n">
        <v>1119274</v>
      </c>
      <c r="F657" t="inlineStr">
        <is>
          <t>WICKRON TRAVEL SPLIT TOE SOCKS MEN'S</t>
        </is>
      </c>
      <c r="G657" t="inlineStr">
        <is>
          <t>BK      LGY</t>
        </is>
      </c>
      <c r="H657" t="inlineStr">
        <is>
          <t>LGY</t>
        </is>
      </c>
      <c r="I657">
        <f>VLOOKUP(H657,[1]尺寸簡表!$C$3:$D$1263,2,0)</f>
        <v/>
      </c>
      <c r="J657" t="n">
        <v>390</v>
      </c>
      <c r="K657" t="inlineStr">
        <is>
          <t>◎ 薄手，wickron®(聚酯纖維)：尼龍23%＋壓克力紗45%＋聚酯纖維24%＋羊毛6%＋聚氨酯2%。</t>
        </is>
      </c>
    </row>
    <row r="658">
      <c r="A658" t="inlineStr">
        <is>
          <t>27SS</t>
        </is>
      </c>
      <c r="B658" t="inlineStr">
        <is>
          <t>27SS</t>
        </is>
      </c>
      <c r="C658" t="inlineStr">
        <is>
          <t>SOCKS</t>
        </is>
      </c>
      <c r="D658">
        <f>U658</f>
        <v/>
      </c>
      <c r="E658" t="n">
        <v>1119258</v>
      </c>
      <c r="F658" t="inlineStr">
        <is>
          <t>WICKRON TREKKING 5 TOE SOCKS MEN'S</t>
        </is>
      </c>
      <c r="G658" t="inlineStr">
        <is>
          <t>BK      GY</t>
        </is>
      </c>
      <c r="H658" t="inlineStr">
        <is>
          <t>BK</t>
        </is>
      </c>
      <c r="I658">
        <f>VLOOKUP(H658,[1]尺寸簡表!$C$3:$D$1263,2,0)</f>
        <v/>
      </c>
      <c r="J658" t="n">
        <v>630</v>
      </c>
      <c r="K658" t="inlineStr">
        <is>
          <t>◎ 厚手，wickron®(聚酯纖維)：尼龍27%＋壓克力紗46%＋聚酯纖維10%＋羊毛7%＋聚氨酯10%。</t>
        </is>
      </c>
    </row>
    <row r="659">
      <c r="A659" t="inlineStr">
        <is>
          <t>27SS</t>
        </is>
      </c>
      <c r="B659" t="inlineStr">
        <is>
          <t>27SS</t>
        </is>
      </c>
      <c r="C659" t="inlineStr">
        <is>
          <t>SOCKS</t>
        </is>
      </c>
      <c r="D659">
        <f>U659</f>
        <v/>
      </c>
      <c r="E659" t="n">
        <v>1119259</v>
      </c>
      <c r="F659" t="inlineStr">
        <is>
          <t>WICKRON TREKKING 5 TOE SOCKS WOMEN'S</t>
        </is>
      </c>
      <c r="G659" t="inlineStr">
        <is>
          <t>BL      LGY</t>
        </is>
      </c>
      <c r="H659" t="inlineStr">
        <is>
          <t>BL</t>
        </is>
      </c>
      <c r="I659">
        <f>VLOOKUP(H659,[1]尺寸簡表!$C$3:$D$1263,2,0)</f>
        <v/>
      </c>
      <c r="J659" t="n">
        <v>650</v>
      </c>
      <c r="K659" t="inlineStr">
        <is>
          <t>◎ 厚手，wickron®(聚酯纖維)：尼龍27%＋壓克力紗47%＋聚酯纖維8%＋羊毛7%＋聚氨酯11%。</t>
        </is>
      </c>
    </row>
    <row r="660">
      <c r="A660" t="inlineStr">
        <is>
          <t>27SS</t>
        </is>
      </c>
      <c r="B660" t="inlineStr">
        <is>
          <t>27SS</t>
        </is>
      </c>
      <c r="C660" t="inlineStr">
        <is>
          <t>SOCKS</t>
        </is>
      </c>
      <c r="D660">
        <f>U660</f>
        <v/>
      </c>
      <c r="E660" t="n">
        <v>1119254</v>
      </c>
      <c r="F660" t="inlineStr">
        <is>
          <t>WICKRON TREKKING O-PILE SOCKS MEN'S</t>
        </is>
      </c>
      <c r="G660" t="inlineStr">
        <is>
          <t>DGY      DNV      LGN      RD</t>
        </is>
      </c>
      <c r="H660" t="inlineStr">
        <is>
          <t>RD</t>
        </is>
      </c>
      <c r="I660">
        <f>VLOOKUP(H660,[1]尺寸簡表!$C$3:$D$1263,2,0)</f>
        <v/>
      </c>
      <c r="J660" t="n">
        <v>450</v>
      </c>
      <c r="K660" t="inlineStr">
        <is>
          <t>◎ 厚手，wickron®(聚酯纖維)：尼龍15%＋壓克力紗50%＋聚酯纖維26%＋羊毛7%＋聚氨酯2%。</t>
        </is>
      </c>
    </row>
    <row r="661">
      <c r="A661" t="inlineStr">
        <is>
          <t>27SS</t>
        </is>
      </c>
      <c r="B661" t="inlineStr">
        <is>
          <t>27SS</t>
        </is>
      </c>
      <c r="C661" t="inlineStr">
        <is>
          <t>SOCKS</t>
        </is>
      </c>
      <c r="D661">
        <f>U661</f>
        <v/>
      </c>
      <c r="E661" t="n">
        <v>1119255</v>
      </c>
      <c r="F661" t="inlineStr">
        <is>
          <t>WICKRON TREKKING O-PILE SOCKS WOMEN'S</t>
        </is>
      </c>
      <c r="G661" t="inlineStr">
        <is>
          <t>DGY      RD      TN      TQ</t>
        </is>
      </c>
      <c r="H661" t="inlineStr">
        <is>
          <t>RD</t>
        </is>
      </c>
      <c r="I661">
        <f>VLOOKUP(H661,[1]尺寸簡表!$C$3:$D$1263,2,0)</f>
        <v/>
      </c>
      <c r="J661" t="n">
        <v>450</v>
      </c>
      <c r="K661" t="inlineStr">
        <is>
          <t>◎ 厚手，wickron®(聚酯纖維)：尼龍16%＋壓克力紗51%＋聚酯纖維24%＋羊毛7%＋聚氨酯2%。</t>
        </is>
      </c>
    </row>
    <row r="662">
      <c r="A662" t="inlineStr">
        <is>
          <t>26FW</t>
        </is>
      </c>
      <c r="B662" t="inlineStr">
        <is>
          <t>26FW</t>
        </is>
      </c>
      <c r="C662" t="inlineStr">
        <is>
          <t>SOCKS</t>
        </is>
      </c>
      <c r="D662">
        <f>U662</f>
        <v/>
      </c>
      <c r="E662" t="n">
        <v>1119257</v>
      </c>
      <c r="F662" t="inlineStr">
        <is>
          <t>WICKRON TREKKING SHORT SOCKS WOMEN'S</t>
        </is>
      </c>
      <c r="G662" t="inlineStr">
        <is>
          <t>BGY      BK      BL      GN      LTN      RD</t>
        </is>
      </c>
      <c r="H662" t="inlineStr">
        <is>
          <t>BGY</t>
        </is>
      </c>
      <c r="I662">
        <f>VLOOKUP(H662,[1]尺寸簡表!$C$3:$D$1263,2,0)</f>
        <v/>
      </c>
      <c r="J662" t="n">
        <v>390</v>
      </c>
      <c r="K662" t="inlineStr">
        <is>
          <t>◎ 厚手，wickron®(聚酯纖維)：壓克力紗48-57%＋聚酯纖維23%＋尼龍13-20%＋羊毛5-7%＋聚氨酯2%</t>
        </is>
      </c>
    </row>
    <row r="663">
      <c r="A663" t="inlineStr">
        <is>
          <t>27SS</t>
        </is>
      </c>
      <c r="B663" t="inlineStr">
        <is>
          <t>27SS</t>
        </is>
      </c>
      <c r="C663" t="inlineStr">
        <is>
          <t>SOCKS</t>
        </is>
      </c>
      <c r="D663">
        <f>U663</f>
        <v/>
      </c>
      <c r="E663" t="n">
        <v>1119252</v>
      </c>
      <c r="F663" t="inlineStr">
        <is>
          <t>WICKRON TREKKING SOCKS MEN'S</t>
        </is>
      </c>
      <c r="G663" t="inlineStr">
        <is>
          <t>BK      BRC      DGN      LTN      NV      TN</t>
        </is>
      </c>
      <c r="H663" t="inlineStr">
        <is>
          <t>BK</t>
        </is>
      </c>
      <c r="I663">
        <f>VLOOKUP(H663,[1]尺寸簡表!$C$3:$D$1263,2,0)</f>
        <v/>
      </c>
      <c r="J663" t="n">
        <v>420</v>
      </c>
      <c r="K663" t="inlineStr">
        <is>
          <t>◎ 厚手，wickron®(聚酯纖維)：壓克力紗48-57%＋聚酯纖維25%＋尼龍12-19%＋羊毛5%＋聚氨酯1%</t>
        </is>
      </c>
    </row>
    <row r="664">
      <c r="A664" t="inlineStr">
        <is>
          <t>27SS</t>
        </is>
      </c>
      <c r="B664" t="inlineStr">
        <is>
          <t>27SS</t>
        </is>
      </c>
      <c r="C664" t="inlineStr">
        <is>
          <t>SOCKS</t>
        </is>
      </c>
      <c r="D664">
        <f>U664</f>
        <v/>
      </c>
      <c r="E664" t="n">
        <v>1119253</v>
      </c>
      <c r="F664" t="inlineStr">
        <is>
          <t>WICKRON TREKKING SOCKS WOMEN'S</t>
        </is>
      </c>
      <c r="G664" t="inlineStr">
        <is>
          <t>BGY      BK      BL      GN      LTN      RD</t>
        </is>
      </c>
      <c r="H664" t="inlineStr">
        <is>
          <t>BGY</t>
        </is>
      </c>
      <c r="I664">
        <f>VLOOKUP(H664,[1]尺寸簡表!$C$3:$D$1263,2,0)</f>
        <v/>
      </c>
      <c r="J664" t="n">
        <v>460</v>
      </c>
      <c r="K664" t="inlineStr">
        <is>
          <t>◎ 厚手，wickron®(聚酯纖維)：壓克力紗48-57%＋聚酯纖維23%＋尼龍13-20%＋羊毛5-7%＋聚氨酯2%</t>
        </is>
      </c>
    </row>
    <row r="665">
      <c r="A665" t="inlineStr">
        <is>
          <t>27SS</t>
        </is>
      </c>
      <c r="B665" t="inlineStr">
        <is>
          <t>27SS</t>
        </is>
      </c>
      <c r="C665" t="inlineStr">
        <is>
          <t>SOCKS</t>
        </is>
      </c>
      <c r="D665">
        <f>U665</f>
        <v/>
      </c>
      <c r="E665" t="n">
        <v>1119260</v>
      </c>
      <c r="F665" t="inlineStr">
        <is>
          <t>WICKRON TREKKING SPLIT TOE SOCKS MEN'S</t>
        </is>
      </c>
      <c r="G665" t="inlineStr">
        <is>
          <t>BK      GY</t>
        </is>
      </c>
      <c r="H665" t="inlineStr">
        <is>
          <t>GY</t>
        </is>
      </c>
      <c r="I665">
        <f>VLOOKUP(H665,[1]尺寸簡表!$C$3:$D$1263,2,0)</f>
        <v/>
      </c>
      <c r="J665" t="n">
        <v>510</v>
      </c>
      <c r="K665" t="inlineStr">
        <is>
          <t>◎ 厚手，wickron®(聚酯纖維)：尼龍16%＋壓克力紗49%＋聚酯纖維25%＋羊毛7%＋聚氨酯3%。</t>
        </is>
      </c>
    </row>
    <row r="666">
      <c r="A666" t="inlineStr">
        <is>
          <t>27SS</t>
        </is>
      </c>
      <c r="B666" t="inlineStr">
        <is>
          <t>27SS</t>
        </is>
      </c>
      <c r="C666" t="inlineStr">
        <is>
          <t>SOCKS</t>
        </is>
      </c>
      <c r="D666">
        <f>U666</f>
        <v/>
      </c>
      <c r="E666" t="n">
        <v>1119265</v>
      </c>
      <c r="F666" t="inlineStr">
        <is>
          <t>WICKRON WALKING 5 TOE SOCKS MEN'S</t>
        </is>
      </c>
      <c r="G666" t="inlineStr">
        <is>
          <t>DGY      LTN      YL</t>
        </is>
      </c>
      <c r="I666">
        <f>VLOOKUP(H666,[1]尺寸簡表!$C$3:$D$1263,2,0)</f>
        <v/>
      </c>
      <c r="J666" t="n">
        <v>590</v>
      </c>
      <c r="K666" t="inlineStr">
        <is>
          <t>◎ 中厚手，wickron®(聚酯纖維)：尼龍13%＋壓克力紗47%＋聚酯纖維29%＋羊毛7%＋聚氨酯4%。</t>
        </is>
      </c>
    </row>
    <row r="667">
      <c r="A667" t="inlineStr">
        <is>
          <t>27SS</t>
        </is>
      </c>
      <c r="B667" t="inlineStr">
        <is>
          <t>27SS</t>
        </is>
      </c>
      <c r="C667" t="inlineStr">
        <is>
          <t>SOCKS</t>
        </is>
      </c>
      <c r="D667">
        <f>U667</f>
        <v/>
      </c>
      <c r="E667" t="n">
        <v>1119266</v>
      </c>
      <c r="F667" t="inlineStr">
        <is>
          <t>WICKRON WALKING 5 TOE SOCKS WOMEN'S</t>
        </is>
      </c>
      <c r="G667" t="inlineStr">
        <is>
          <t>BGY      CPK      NV</t>
        </is>
      </c>
      <c r="I667">
        <f>VLOOKUP(H667,[1]尺寸簡表!$C$3:$D$1263,2,0)</f>
        <v/>
      </c>
      <c r="J667" t="n">
        <v>590</v>
      </c>
      <c r="K667" t="inlineStr">
        <is>
          <t>◎ 中厚手，wickron®(聚酯纖維)：尼龍10%＋壓克力紗50%＋聚酯纖維28%＋羊毛7%＋聚氨酯5%。</t>
        </is>
      </c>
    </row>
    <row r="668">
      <c r="A668" t="inlineStr"/>
      <c r="B668" t="inlineStr"/>
      <c r="C668" t="inlineStr">
        <is>
          <t>SOCKS</t>
        </is>
      </c>
      <c r="D668">
        <f>U668</f>
        <v/>
      </c>
      <c r="E668" t="n">
        <v>1119263</v>
      </c>
      <c r="F668" t="inlineStr">
        <is>
          <t>WICKRON WALKING SHORT SOCKS MEN'S</t>
        </is>
      </c>
      <c r="G668" t="inlineStr">
        <is>
          <t>DGY      LGY      LTN      NV</t>
        </is>
      </c>
      <c r="H668" t="inlineStr">
        <is>
          <t>DGY</t>
        </is>
      </c>
      <c r="I668">
        <f>VLOOKUP(H668,[1]尺寸簡表!$C$3:$D$1263,2,0)</f>
        <v/>
      </c>
      <c r="J668" t="n">
        <v>340</v>
      </c>
      <c r="K668" t="inlineStr">
        <is>
          <t>◎ 中厚手，wickron®(聚酯纖維)：尼龍32%＋壓克力紗46%＋聚酯纖維14%＋羊毛7%＋聚氨酯1%。</t>
        </is>
      </c>
    </row>
    <row r="669">
      <c r="A669" t="inlineStr"/>
      <c r="B669" t="inlineStr"/>
      <c r="C669" t="inlineStr">
        <is>
          <t>SOCKS</t>
        </is>
      </c>
      <c r="D669">
        <f>U669</f>
        <v/>
      </c>
      <c r="E669" t="n">
        <v>1119264</v>
      </c>
      <c r="F669" t="inlineStr">
        <is>
          <t>WICKRON WALKING SHORT SOCKS WOMEN'S</t>
        </is>
      </c>
      <c r="G669" t="inlineStr">
        <is>
          <t>BGY      CPK      NV</t>
        </is>
      </c>
      <c r="H669" t="inlineStr">
        <is>
          <t>BGY</t>
        </is>
      </c>
      <c r="I669">
        <f>VLOOKUP(H669,[1]尺寸簡表!$C$3:$D$1263,2,0)</f>
        <v/>
      </c>
      <c r="J669" t="n">
        <v>340</v>
      </c>
      <c r="K669" t="inlineStr">
        <is>
          <t>◎ 中厚手，wickron®(聚酯纖維)：尼龍28%＋壓克力紗55%＋聚酯纖維12%＋羊毛4%＋聚氨酯1%。</t>
        </is>
      </c>
    </row>
    <row r="670">
      <c r="A670" t="inlineStr">
        <is>
          <t>27SS</t>
        </is>
      </c>
      <c r="B670" t="inlineStr">
        <is>
          <t>27SS</t>
        </is>
      </c>
      <c r="C670" t="inlineStr">
        <is>
          <t>SOCKS</t>
        </is>
      </c>
      <c r="D670">
        <f>U670</f>
        <v/>
      </c>
      <c r="E670" t="n">
        <v>1119261</v>
      </c>
      <c r="F670" t="inlineStr">
        <is>
          <t>WICKRON WALKING SOCKS MEN'S</t>
        </is>
      </c>
      <c r="G670" t="inlineStr">
        <is>
          <t>DGY      KGN      LTN      NV</t>
        </is>
      </c>
      <c r="H670" t="inlineStr">
        <is>
          <t>KGN</t>
        </is>
      </c>
      <c r="I670">
        <f>VLOOKUP(H670,[1]尺寸簡表!$C$3:$D$1263,2,0)</f>
        <v/>
      </c>
      <c r="J670" t="n">
        <v>380</v>
      </c>
      <c r="K670" t="inlineStr">
        <is>
          <t>◎ 中厚手，wickron®(聚酯纖維)：尼龍18%＋壓克力紗53%＋聚酯纖維23%＋羊毛4%＋聚氨酯2%。</t>
        </is>
      </c>
    </row>
    <row r="671">
      <c r="A671" t="inlineStr">
        <is>
          <t>27SS</t>
        </is>
      </c>
      <c r="B671" t="inlineStr">
        <is>
          <t>27SS</t>
        </is>
      </c>
      <c r="C671" t="inlineStr">
        <is>
          <t>SOCKS</t>
        </is>
      </c>
      <c r="D671">
        <f>U671</f>
        <v/>
      </c>
      <c r="E671" t="n">
        <v>1119262</v>
      </c>
      <c r="F671" t="inlineStr">
        <is>
          <t>WICKRON WALKING SOCKS WOMEN'S</t>
        </is>
      </c>
      <c r="G671" t="inlineStr">
        <is>
          <t>BGY      CPK      NV</t>
        </is>
      </c>
      <c r="H671" t="inlineStr">
        <is>
          <t>BGY</t>
        </is>
      </c>
      <c r="I671">
        <f>VLOOKUP(H671,[1]尺寸簡表!$C$3:$D$1263,2,0)</f>
        <v/>
      </c>
      <c r="J671" t="n">
        <v>410</v>
      </c>
      <c r="K671" t="inlineStr">
        <is>
          <t>◎ 中厚手，wickron®(聚酯纖維)：尼龍28%＋壓克力紗54%＋聚酯纖維13%＋羊毛4%＋聚氨酯1%。</t>
        </is>
      </c>
    </row>
    <row r="672">
      <c r="A672" t="inlineStr">
        <is>
          <t>27SS</t>
        </is>
      </c>
      <c r="B672" t="inlineStr">
        <is>
          <t>27SS</t>
        </is>
      </c>
      <c r="C672" t="inlineStr">
        <is>
          <t>SOCKS</t>
        </is>
      </c>
      <c r="D672">
        <f>U672</f>
        <v/>
      </c>
      <c r="E672" t="n">
        <v>1119256</v>
      </c>
      <c r="F672" t="inlineStr">
        <is>
          <t>WICKRON TREKKING SHORT SOCKS MEN'S</t>
        </is>
      </c>
      <c r="G672" t="inlineStr">
        <is>
          <t>BK      BRC      DGN      LTN      NV      TN</t>
        </is>
      </c>
      <c r="H672" t="inlineStr">
        <is>
          <t>BK</t>
        </is>
      </c>
      <c r="I672">
        <f>VLOOKUP(H672,[1]尺寸簡表!$C$3:$D$1263,2,0)</f>
        <v/>
      </c>
      <c r="J672" t="n">
        <v>390</v>
      </c>
      <c r="K672" t="inlineStr">
        <is>
          <t>◎ 厚手，wickron®(聚酯纖維)：壓克力紗48-57%＋聚酯纖維25%＋尼龍12-19%＋羊毛5-7%＋聚氨酯1%</t>
        </is>
      </c>
    </row>
    <row r="673">
      <c r="A673" t="inlineStr"/>
      <c r="B673" t="inlineStr"/>
      <c r="C673" t="inlineStr">
        <is>
          <t>SOCKS</t>
        </is>
      </c>
      <c r="D673">
        <f>U673</f>
        <v/>
      </c>
      <c r="E673" t="n">
        <v>1118507</v>
      </c>
      <c r="F673" t="inlineStr">
        <is>
          <t>ZEO-LINE LIGHT WEIGHT 5 TOE SOCKS</t>
        </is>
      </c>
      <c r="G673" t="inlineStr">
        <is>
          <t>BK      NV</t>
        </is>
      </c>
      <c r="H673" t="inlineStr">
        <is>
          <t>BK</t>
        </is>
      </c>
      <c r="I673">
        <f>VLOOKUP(H673,[1]尺寸簡表!$C$3:$D$1263,2,0)</f>
        <v/>
      </c>
      <c r="J673" t="n">
        <v>480</v>
      </c>
      <c r="K673" t="inlineStr">
        <is>
          <t>◎ 極薄手， ZEO-LINE®：聚酯纖維96%+聚氨酯2%+尼龍2%。</t>
        </is>
      </c>
    </row>
    <row r="674">
      <c r="A674" t="inlineStr"/>
      <c r="B674" t="inlineStr"/>
      <c r="C674" t="inlineStr">
        <is>
          <t>SOCKS</t>
        </is>
      </c>
      <c r="D674">
        <f>U674</f>
        <v/>
      </c>
      <c r="E674" t="n">
        <v>1118506</v>
      </c>
      <c r="F674" t="inlineStr">
        <is>
          <t>ZEO-LINE LIGHT WEIGHT SOCKS</t>
        </is>
      </c>
      <c r="G674" t="inlineStr">
        <is>
          <t>BK      NV</t>
        </is>
      </c>
      <c r="H674" t="inlineStr">
        <is>
          <t>NV</t>
        </is>
      </c>
      <c r="I674">
        <f>VLOOKUP(H674,[1]尺寸簡表!$C$3:$D$1263,2,0)</f>
        <v/>
      </c>
      <c r="J674" t="n">
        <v>450</v>
      </c>
      <c r="K674" t="inlineStr">
        <is>
          <t>◎ 極薄手， ZEO-LINE®：聚酯纖維94%+聚氨酯4%+尼龍2%。</t>
        </is>
      </c>
    </row>
    <row r="675">
      <c r="A675" t="inlineStr"/>
      <c r="B675" t="inlineStr"/>
      <c r="C675" t="inlineStr">
        <is>
          <t>SOFT SHELL</t>
        </is>
      </c>
      <c r="D675">
        <f>U675</f>
        <v/>
      </c>
      <c r="E675" t="n">
        <v>1106723</v>
      </c>
      <c r="F675" t="inlineStr">
        <is>
          <t>CLIMABARRIER HOODED JACKET MEN'S</t>
        </is>
      </c>
      <c r="G675" t="inlineStr">
        <is>
          <t>BK      NV      OG</t>
        </is>
      </c>
      <c r="I675">
        <f>VLOOKUP(H675,[1]尺寸簡表!$C$3:$D$1263,2,0)</f>
        <v/>
      </c>
      <c r="J675" t="n">
        <v>6910</v>
      </c>
      <c r="K675" t="inlineStr">
        <is>
          <t>◎ 使用CLIMABARRIER®表布：聚酯纖維(撥水加工)。採用防風透氣薄膜夾在外層布料和保暖的拉絨布料之間，具有出色的保暖性及彈性。</t>
        </is>
      </c>
    </row>
    <row r="676">
      <c r="A676" t="inlineStr"/>
      <c r="B676" t="inlineStr"/>
      <c r="C676" t="inlineStr">
        <is>
          <t>SOFT SHELL</t>
        </is>
      </c>
      <c r="D676">
        <f>U676</f>
        <v/>
      </c>
      <c r="E676" t="n">
        <v>1106724</v>
      </c>
      <c r="F676" t="inlineStr">
        <is>
          <t>CLIMABARRIER HOODED JACKET WOMEN'S</t>
        </is>
      </c>
      <c r="G676" t="inlineStr">
        <is>
          <t>BGN      BK      LGY</t>
        </is>
      </c>
      <c r="I676">
        <f>VLOOKUP(H676,[1]尺寸簡表!$C$3:$D$1263,2,0)</f>
        <v/>
      </c>
      <c r="J676" t="n">
        <v>6660</v>
      </c>
      <c r="K676" t="inlineStr">
        <is>
          <t>◎ 使用CLIMABARRIER®表布：聚酯纖維(撥水加工)。採用防風透氣薄膜夾在外層布料和保暖的拉絨布料之間，具有出色的保暖性及彈性。</t>
        </is>
      </c>
    </row>
    <row r="677">
      <c r="A677" t="inlineStr"/>
      <c r="B677" t="inlineStr"/>
      <c r="C677" t="inlineStr">
        <is>
          <t>SOFT SHELL</t>
        </is>
      </c>
      <c r="D677">
        <f>U677</f>
        <v/>
      </c>
      <c r="E677" t="n">
        <v>1106708</v>
      </c>
      <c r="F677" t="inlineStr">
        <is>
          <t>CLIMAPRO 200 HOODED JACKET MEN'S</t>
        </is>
      </c>
      <c r="G677" t="inlineStr">
        <is>
          <t>BK24      GY      MST      NV      OG</t>
        </is>
      </c>
      <c r="H677" t="inlineStr">
        <is>
          <t>BK24</t>
        </is>
      </c>
      <c r="I677">
        <f>VLOOKUP(H677,[1]尺寸簡表!$C$3:$D$1263,2,0)</f>
        <v/>
      </c>
      <c r="J677" t="n">
        <v>5040</v>
      </c>
      <c r="K677" t="inlineStr">
        <is>
          <t>◎ 使用CLIMAPRO®200材質，具有優異的拉伸性能。表面防風防水，內裡採用快乾材質。
◎ 可以全年使用的外套，融合了軟殼的所有必要元素。冬季作為中間層，春季和秋季作為外層。</t>
        </is>
      </c>
    </row>
    <row r="678">
      <c r="A678" t="inlineStr"/>
      <c r="B678" t="inlineStr"/>
      <c r="C678" t="inlineStr">
        <is>
          <t>SOFT SHELL</t>
        </is>
      </c>
      <c r="D678">
        <f>U678</f>
        <v/>
      </c>
      <c r="E678" t="n">
        <v>1106709</v>
      </c>
      <c r="F678" t="inlineStr">
        <is>
          <t>CLIMAPRO 200 HOODED JACKET WOMEN'S</t>
        </is>
      </c>
      <c r="G678" t="inlineStr">
        <is>
          <t>BK      DTL      LGY      LYL</t>
        </is>
      </c>
      <c r="H678" t="inlineStr">
        <is>
          <t>LGY</t>
        </is>
      </c>
      <c r="I678">
        <f>VLOOKUP(H678,[1]尺寸簡表!$C$3:$D$1263,2,0)</f>
        <v/>
      </c>
      <c r="J678" t="n">
        <v>4820</v>
      </c>
      <c r="K678" t="inlineStr">
        <is>
          <t>◎ 使用CLIMAPRO®200材質，具有優異的拉伸性能。表面防風防水，內裡採用快乾材質。
◎ 可以全年使用的外套，融合了軟殼的所有必要元素。冬季作為中間層，春季和秋季作為外層。</t>
        </is>
      </c>
    </row>
    <row r="679">
      <c r="A679" t="inlineStr"/>
      <c r="B679" t="inlineStr"/>
      <c r="C679" t="inlineStr">
        <is>
          <t>SOFT SHELL</t>
        </is>
      </c>
      <c r="D679">
        <f>U679</f>
        <v/>
      </c>
      <c r="E679" t="n">
        <v>1106710</v>
      </c>
      <c r="F679" t="inlineStr">
        <is>
          <t>CLIMAPRO 200 JACKET MEN'S</t>
        </is>
      </c>
      <c r="G679" t="inlineStr">
        <is>
          <t>DGY      GAR      MST      NV</t>
        </is>
      </c>
      <c r="H679" t="inlineStr">
        <is>
          <t>DGY</t>
        </is>
      </c>
      <c r="I679">
        <f>VLOOKUP(H679,[1]尺寸簡表!$C$3:$D$1263,2,0)</f>
        <v/>
      </c>
      <c r="J679" t="n">
        <v>4680</v>
      </c>
      <c r="K679" t="inlineStr">
        <is>
          <t>◎ 使用CLIMAPRO®200材質，具有優異的拉伸性能。表面防風防水，內裡採用快乾材質。
◎ 可以全年使用的外套，融合了軟殼的所有必要元素。冬季作為中間層，春季和秋季作為外層。</t>
        </is>
      </c>
    </row>
    <row r="680">
      <c r="A680" t="inlineStr"/>
      <c r="B680" t="inlineStr"/>
      <c r="C680" t="inlineStr">
        <is>
          <t>SOFT SHELL</t>
        </is>
      </c>
      <c r="D680">
        <f>U680</f>
        <v/>
      </c>
      <c r="E680" t="n">
        <v>1106711</v>
      </c>
      <c r="F680" t="inlineStr">
        <is>
          <t>CLIMAPRO 200 JACKET WOMEN'S</t>
        </is>
      </c>
      <c r="G680" t="inlineStr">
        <is>
          <t>BK      DTL      LYL</t>
        </is>
      </c>
      <c r="I680">
        <f>VLOOKUP(H680,[1]尺寸簡表!$C$3:$D$1263,2,0)</f>
        <v/>
      </c>
      <c r="J680" t="n">
        <v>4460</v>
      </c>
      <c r="K680" t="inlineStr">
        <is>
          <t>◎ 使用CLIMAPRO®200材質，具有優異的拉伸性能。表面防風防水，內裡採用快乾材質。
◎ 可以全年使用的外套，融合了軟殼的所有必要元素。冬季作為中間層，春季和秋季作為外層。</t>
        </is>
      </c>
    </row>
    <row r="681">
      <c r="A681" t="inlineStr">
        <is>
          <t>26FW</t>
        </is>
      </c>
      <c r="B681" t="inlineStr">
        <is>
          <t>26FW</t>
        </is>
      </c>
      <c r="C681" t="inlineStr">
        <is>
          <t>SOFT SHELL</t>
        </is>
      </c>
      <c r="D681">
        <f>U681</f>
        <v/>
      </c>
      <c r="E681" t="n">
        <v>1106826</v>
      </c>
      <c r="F681" t="inlineStr">
        <is>
          <t>LIGHT SHELL 3IN1 JACKET MEN'S</t>
        </is>
      </c>
      <c r="G681" t="inlineStr">
        <is>
          <t>BGN      BK</t>
        </is>
      </c>
      <c r="H681" t="inlineStr">
        <is>
          <t>BGN</t>
        </is>
      </c>
      <c r="I681">
        <f>VLOOKUP(H681,[1]尺寸簡表!$C$3:$D$1263,2,0)</f>
        <v/>
      </c>
      <c r="J681" t="n">
        <v>3820</v>
      </c>
      <c r="K681" t="inlineStr">
        <is>
          <t>◎ 外層：40D抗撕裂尼龍布料，內層：CIMAPLUS®MESH輕量超細纖維（撥水加工）。兩件式防風外套，也可分開穿。</t>
        </is>
      </c>
    </row>
    <row r="682">
      <c r="A682" t="inlineStr">
        <is>
          <t>促銷款</t>
        </is>
      </c>
      <c r="B682" t="inlineStr">
        <is>
          <t>活動款</t>
        </is>
      </c>
      <c r="C682" t="inlineStr">
        <is>
          <t>SOFT SHELL</t>
        </is>
      </c>
      <c r="D682">
        <f>U682</f>
        <v/>
      </c>
      <c r="E682" t="n">
        <v>1106817</v>
      </c>
      <c r="F682" t="inlineStr">
        <is>
          <t>LIGHT SHELL HOODED JACKET MEN'S</t>
        </is>
      </c>
      <c r="G682" t="inlineStr">
        <is>
          <t>BGN      BK      DGN      TN      YL</t>
        </is>
      </c>
      <c r="H682" t="inlineStr">
        <is>
          <t>YL</t>
        </is>
      </c>
      <c r="I682">
        <f>VLOOKUP(H682,[1]尺寸簡表!$C$3:$D$1263,2,0)</f>
        <v/>
      </c>
      <c r="J682" t="n">
        <v>3090</v>
      </c>
      <c r="K682" t="inlineStr">
        <is>
          <t>◎ 40D抗撕裂尼龍布料內有CIMAPLUS®MESH輕量超細纖維（撥水加工）。</t>
        </is>
      </c>
    </row>
    <row r="683">
      <c r="A683" t="inlineStr">
        <is>
          <t>促銷款</t>
        </is>
      </c>
      <c r="B683" t="inlineStr">
        <is>
          <t>活動款</t>
        </is>
      </c>
      <c r="C683" t="inlineStr">
        <is>
          <t>SOFT SHELL</t>
        </is>
      </c>
      <c r="D683">
        <f>U683</f>
        <v/>
      </c>
      <c r="E683" t="n">
        <v>1106818</v>
      </c>
      <c r="F683" t="inlineStr">
        <is>
          <t>LIGHT SHELL HOODED JACKET WOMEN'S</t>
        </is>
      </c>
      <c r="G683" t="inlineStr">
        <is>
          <t>BGN      LGY      NV      OG      TN</t>
        </is>
      </c>
      <c r="H683" t="inlineStr">
        <is>
          <t>OG</t>
        </is>
      </c>
      <c r="I683">
        <f>VLOOKUP(H683,[1]尺寸簡表!$C$3:$D$1263,2,0)</f>
        <v/>
      </c>
      <c r="J683" t="n">
        <v>2930</v>
      </c>
      <c r="K683" t="inlineStr">
        <is>
          <t>◎ 40D抗撕裂尼龍布料內有CIMAPLUS®MESH輕量超細纖維（撥水加工）。</t>
        </is>
      </c>
    </row>
    <row r="684">
      <c r="A684" t="inlineStr">
        <is>
          <t>26FW</t>
        </is>
      </c>
      <c r="B684" t="inlineStr">
        <is>
          <t>26FW</t>
        </is>
      </c>
      <c r="C684" t="inlineStr">
        <is>
          <t>SOFT SHELL</t>
        </is>
      </c>
      <c r="D684">
        <f>U684</f>
        <v/>
      </c>
      <c r="E684" t="n">
        <v>1106821</v>
      </c>
      <c r="F684" t="inlineStr">
        <is>
          <t>LIGHT SHELL JACKET MEN'S</t>
        </is>
      </c>
      <c r="G684" t="inlineStr">
        <is>
          <t>BGN      BK      LGY      OG      YL</t>
        </is>
      </c>
      <c r="H684" t="inlineStr">
        <is>
          <t>OG</t>
        </is>
      </c>
      <c r="I684">
        <f>VLOOKUP(H684,[1]尺寸簡表!$C$3:$D$1263,2,0)</f>
        <v/>
      </c>
      <c r="J684" t="n">
        <v>2830</v>
      </c>
      <c r="K684" t="inlineStr">
        <is>
          <t>◎ 40D抗撕裂尼龍布料內有CIMAPLUS®MESH輕量超細纖維（撥水加工）。</t>
        </is>
      </c>
    </row>
    <row r="685">
      <c r="A685" t="inlineStr">
        <is>
          <t>26FW</t>
        </is>
      </c>
      <c r="B685" t="inlineStr">
        <is>
          <t>26FW</t>
        </is>
      </c>
      <c r="C685" t="inlineStr">
        <is>
          <t>SOFT SHELL</t>
        </is>
      </c>
      <c r="D685">
        <f>U685</f>
        <v/>
      </c>
      <c r="E685" t="n">
        <v>1106822</v>
      </c>
      <c r="F685" t="inlineStr">
        <is>
          <t>LIGHT SHELL JACKET WOMEN'S</t>
        </is>
      </c>
      <c r="G685" t="inlineStr">
        <is>
          <t>BGN      BK      OG      WT</t>
        </is>
      </c>
      <c r="H685" t="inlineStr">
        <is>
          <t>WT</t>
        </is>
      </c>
      <c r="I685">
        <f>VLOOKUP(H685,[1]尺寸簡表!$C$3:$D$1263,2,0)</f>
        <v/>
      </c>
      <c r="J685" t="n">
        <v>2640</v>
      </c>
      <c r="K685" t="inlineStr">
        <is>
          <t>◎ 40D抗撕裂尼龍布料內有CIMAPLUS®MESH輕量超細纖維（撥水加工）。</t>
        </is>
      </c>
    </row>
    <row r="686">
      <c r="A686" t="inlineStr">
        <is>
          <t>26FW</t>
        </is>
      </c>
      <c r="B686" t="inlineStr">
        <is>
          <t>26FW</t>
        </is>
      </c>
      <c r="C686" t="inlineStr">
        <is>
          <t>SOFT SHELL</t>
        </is>
      </c>
      <c r="D686">
        <f>U686</f>
        <v/>
      </c>
      <c r="E686" t="n">
        <v>1106819</v>
      </c>
      <c r="F686" t="inlineStr">
        <is>
          <t>LIGHT SHELL OUTER JACKET MEN'S</t>
        </is>
      </c>
      <c r="G686" t="inlineStr">
        <is>
          <t>BK      DGN      NV      RD      TN</t>
        </is>
      </c>
      <c r="H686" t="inlineStr">
        <is>
          <t>RD</t>
        </is>
      </c>
      <c r="I686">
        <f>VLOOKUP(H686,[1]尺寸簡表!$C$3:$D$1263,2,0)</f>
        <v/>
      </c>
      <c r="J686" t="n">
        <v>2800</v>
      </c>
      <c r="K686" t="inlineStr">
        <is>
          <t>◎ 40D抗撕裂尼龍布料內有CIMAPLUS®MESH輕量超細纖維（撥水加工）。</t>
        </is>
      </c>
    </row>
    <row r="687">
      <c r="A687" t="inlineStr">
        <is>
          <t>26FW</t>
        </is>
      </c>
      <c r="B687" t="inlineStr">
        <is>
          <t>26FW</t>
        </is>
      </c>
      <c r="C687" t="inlineStr">
        <is>
          <t>SOFT SHELL</t>
        </is>
      </c>
      <c r="D687">
        <f>U687</f>
        <v/>
      </c>
      <c r="E687" t="n">
        <v>1106820</v>
      </c>
      <c r="F687" t="inlineStr">
        <is>
          <t>LIGHT SHELL OUTER JACKET WOMEN'S</t>
        </is>
      </c>
      <c r="G687" t="inlineStr">
        <is>
          <t>LGY      NV      OG</t>
        </is>
      </c>
      <c r="H687" t="inlineStr">
        <is>
          <t>LGY</t>
        </is>
      </c>
      <c r="I687">
        <f>VLOOKUP(H687,[1]尺寸簡表!$C$3:$D$1263,2,0)</f>
        <v/>
      </c>
      <c r="J687" t="n">
        <v>2610</v>
      </c>
      <c r="K687" t="inlineStr">
        <is>
          <t>◎ 40D抗撕裂尼龍布料內有CIMAPLUS®MESH輕量超細纖維（撥水加工）。</t>
        </is>
      </c>
    </row>
    <row r="688">
      <c r="A688" t="inlineStr">
        <is>
          <t>26FW</t>
        </is>
      </c>
      <c r="B688" t="inlineStr">
        <is>
          <t>26FW</t>
        </is>
      </c>
      <c r="C688" t="inlineStr">
        <is>
          <t>SOFT SHELL</t>
        </is>
      </c>
      <c r="D688">
        <f>U688</f>
        <v/>
      </c>
      <c r="E688" t="n">
        <v>1105830</v>
      </c>
      <c r="F688" t="inlineStr">
        <is>
          <t>LIGHT SHELL PANTS MEN'S</t>
        </is>
      </c>
      <c r="G688" t="inlineStr">
        <is>
          <t>BK</t>
        </is>
      </c>
      <c r="H688" t="inlineStr">
        <is>
          <t>BK</t>
        </is>
      </c>
      <c r="I688">
        <f>VLOOKUP(H688,[1]尺寸簡表!$C$3:$D$1263,2,0)</f>
        <v/>
      </c>
      <c r="J688" t="n">
        <v>2390</v>
      </c>
      <c r="K688" t="inlineStr">
        <is>
          <t>◎ 40D抗撕裂尼龍布料內有CIMAPLUS®MESH輕量超細纖維（撥水加工）。</t>
        </is>
      </c>
    </row>
    <row r="689">
      <c r="A689" t="inlineStr">
        <is>
          <t>26FW</t>
        </is>
      </c>
      <c r="B689" t="inlineStr">
        <is>
          <t>26FW</t>
        </is>
      </c>
      <c r="C689" t="inlineStr">
        <is>
          <t>SOFT SHELL</t>
        </is>
      </c>
      <c r="D689">
        <f>U689</f>
        <v/>
      </c>
      <c r="E689" t="n">
        <v>1105831</v>
      </c>
      <c r="F689" t="inlineStr">
        <is>
          <t>LIGHT SHELL PANTS WOMEN'S</t>
        </is>
      </c>
      <c r="G689" t="inlineStr">
        <is>
          <t>BK</t>
        </is>
      </c>
      <c r="H689" t="inlineStr">
        <is>
          <t>BK</t>
        </is>
      </c>
      <c r="I689">
        <f>VLOOKUP(H689,[1]尺寸簡表!$C$3:$D$1263,2,0)</f>
        <v/>
      </c>
      <c r="J689" t="n">
        <v>2230</v>
      </c>
      <c r="K689" t="inlineStr">
        <is>
          <t>◎ 40D抗撕裂尼龍布料內有CIMAPLUS®MESH輕量超細纖維（撥水加工）。</t>
        </is>
      </c>
    </row>
    <row r="690">
      <c r="A690" t="inlineStr">
        <is>
          <t>26FW</t>
        </is>
      </c>
      <c r="B690" t="inlineStr">
        <is>
          <t>26FW</t>
        </is>
      </c>
      <c r="C690" t="inlineStr">
        <is>
          <t>SOFT SHELL</t>
        </is>
      </c>
      <c r="D690">
        <f>U690</f>
        <v/>
      </c>
      <c r="E690" t="n">
        <v>1106825</v>
      </c>
      <c r="F690" t="inlineStr">
        <is>
          <t>LIGHT SHELL T</t>
        </is>
      </c>
      <c r="G690" t="inlineStr">
        <is>
          <t>BK      LGY</t>
        </is>
      </c>
      <c r="H690" t="inlineStr">
        <is>
          <t>LGY</t>
        </is>
      </c>
      <c r="I690">
        <f>VLOOKUP(H690,[1]尺寸簡表!$C$3:$D$1263,2,0)</f>
        <v/>
      </c>
      <c r="J690" t="n">
        <v>2610</v>
      </c>
      <c r="K690" t="inlineStr">
        <is>
          <t>◎ 40D抗撕裂尼龍布料內有CIMAPLUS®MESH輕量超細纖維（撥水加工）。</t>
        </is>
      </c>
    </row>
    <row r="691">
      <c r="A691" t="inlineStr"/>
      <c r="B691" t="inlineStr"/>
      <c r="C691" t="inlineStr">
        <is>
          <t>SUPPORTER &amp; WARMER</t>
        </is>
      </c>
      <c r="D691">
        <f>U691</f>
        <v/>
      </c>
      <c r="E691" t="n">
        <v>1107294</v>
      </c>
      <c r="F691" t="inlineStr">
        <is>
          <t>JACQUARD TIGHTS WOMEN'S</t>
        </is>
      </c>
      <c r="G691" t="inlineStr">
        <is>
          <t>DGY      HGY      KH      NV</t>
        </is>
      </c>
      <c r="H691" t="inlineStr">
        <is>
          <t>NV      HGY</t>
        </is>
      </c>
      <c r="I691">
        <f>VLOOKUP(H691,[1]尺寸簡表!$C$3:$D$1263,2,0)</f>
        <v/>
      </c>
      <c r="J691" t="n">
        <v>1030</v>
      </c>
      <c r="K691" t="inlineStr">
        <is>
          <t>◎ 厚手、材質：壓克力纖維74%+尼龍23%+聚氨酯3%。透氣快乾、UV CUT、抗菌除臭。</t>
        </is>
      </c>
    </row>
    <row r="692">
      <c r="A692" t="inlineStr"/>
      <c r="B692" t="inlineStr"/>
      <c r="C692" t="inlineStr">
        <is>
          <t>SUPPORTER &amp; WARMER</t>
        </is>
      </c>
      <c r="D692">
        <f>U692</f>
        <v/>
      </c>
      <c r="E692" t="n">
        <v>1107787</v>
      </c>
      <c r="F692" t="inlineStr">
        <is>
          <t>TRAIL TIGHTS MEN'S</t>
        </is>
      </c>
      <c r="G692" t="inlineStr">
        <is>
          <t>BK      NV</t>
        </is>
      </c>
      <c r="I692">
        <f>VLOOKUP(H692,[1]尺寸簡表!$C$3:$D$1263,2,0)</f>
        <v/>
      </c>
      <c r="J692" t="n">
        <v>1660</v>
      </c>
      <c r="K692" t="inlineStr">
        <is>
          <t>◎ 中厚手：聚酯纖維95%+聚氨酯5%、腰部：聚酯纖維77%+尼龍9%+聚氨酯14%。透氣快乾、UV CUT、抗菌除臭。</t>
        </is>
      </c>
    </row>
    <row r="693">
      <c r="A693" t="inlineStr"/>
      <c r="B693" t="inlineStr"/>
      <c r="C693" t="inlineStr">
        <is>
          <t>SUPPORTER &amp; WARMER</t>
        </is>
      </c>
      <c r="D693">
        <f>U693</f>
        <v/>
      </c>
      <c r="E693" t="n">
        <v>1107788</v>
      </c>
      <c r="F693" t="inlineStr">
        <is>
          <t>TRAIL TIGHTS WOMEN'S</t>
        </is>
      </c>
      <c r="G693" t="inlineStr">
        <is>
          <t>BK      DGN      DGY      NV      PU</t>
        </is>
      </c>
      <c r="I693">
        <f>VLOOKUP(H693,[1]尺寸簡表!$C$3:$D$1263,2,0)</f>
        <v/>
      </c>
      <c r="J693" t="n">
        <v>1500</v>
      </c>
      <c r="K693" t="inlineStr">
        <is>
          <t>◎ 中厚手：聚酯纖維95%+聚氨酯5%、腰部：聚酯纖維77%+尼龍9%+聚氨酯14%。透氣快乾、UV CUT、抗菌除臭。</t>
        </is>
      </c>
    </row>
    <row r="694">
      <c r="A694" t="inlineStr"/>
      <c r="B694" t="inlineStr"/>
      <c r="C694" t="inlineStr">
        <is>
          <t>THERMAL</t>
        </is>
      </c>
      <c r="D694">
        <f>U694</f>
        <v/>
      </c>
      <c r="E694" t="n">
        <v>1114918</v>
      </c>
      <c r="F694" t="inlineStr">
        <is>
          <t>CHAMEECE CARDIGAN WOMEN'S</t>
        </is>
      </c>
      <c r="G694" t="inlineStr">
        <is>
          <t>BL      DGY      IV      RD      YL</t>
        </is>
      </c>
      <c r="H694" t="inlineStr">
        <is>
          <t>IV</t>
        </is>
      </c>
      <c r="I694">
        <f>VLOOKUP(H694,[1]尺寸簡表!$C$3:$D$1263,2,0)</f>
        <v/>
      </c>
      <c r="J694" t="n">
        <v>1950</v>
      </c>
      <c r="K694" t="inlineStr">
        <is>
          <t>◎ CHAMEECE™超細纖維，柔軟親膚、彈性佳，質輕且保暖。
◎ 袖口專利螺紋立體剪裁，服貼腕部，增加活動的舒適性。</t>
        </is>
      </c>
    </row>
    <row r="695">
      <c r="A695" t="inlineStr"/>
      <c r="B695" t="inlineStr"/>
      <c r="C695" t="inlineStr">
        <is>
          <t>THERMAL</t>
        </is>
      </c>
      <c r="D695">
        <f>U695</f>
        <v/>
      </c>
      <c r="E695" t="n">
        <v>1114881</v>
      </c>
      <c r="F695" t="inlineStr">
        <is>
          <t>CHAMEECE JACKET MEN'S</t>
        </is>
      </c>
      <c r="G695" t="inlineStr">
        <is>
          <t>BK      BL      DGN      GY      IV      NV      OG</t>
        </is>
      </c>
      <c r="H695" t="inlineStr">
        <is>
          <t>GY</t>
        </is>
      </c>
      <c r="I695">
        <f>VLOOKUP(H695,[1]尺寸簡表!$C$3:$D$1263,2,0)</f>
        <v/>
      </c>
      <c r="J695" t="n">
        <v>2130</v>
      </c>
      <c r="K695" t="inlineStr">
        <is>
          <t>◎ CHAMEECE™超細纖維，柔軟親膚、彈性佳，質輕且保暖。
◎ 袖口專利螺紋立體剪裁，服貼腕部，增加活動的舒適性。</t>
        </is>
      </c>
    </row>
    <row r="696">
      <c r="A696" t="inlineStr"/>
      <c r="B696" t="inlineStr"/>
      <c r="C696" t="inlineStr">
        <is>
          <t>THERMAL</t>
        </is>
      </c>
      <c r="D696">
        <f>U696</f>
        <v/>
      </c>
      <c r="E696" t="n">
        <v>1114882</v>
      </c>
      <c r="F696" t="inlineStr">
        <is>
          <t>CHAMEECE JACKET WOMEN'S</t>
        </is>
      </c>
      <c r="G696" t="inlineStr">
        <is>
          <t>BL      CPK      CPK25      DGY      LGY      RD      YL</t>
        </is>
      </c>
      <c r="H696" t="inlineStr">
        <is>
          <t>CPK</t>
        </is>
      </c>
      <c r="I696">
        <f>VLOOKUP(H696,[1]尺寸簡表!$C$3:$D$1263,2,0)</f>
        <v/>
      </c>
      <c r="J696" t="n">
        <v>1950</v>
      </c>
      <c r="K696" t="inlineStr">
        <is>
          <t>◎ CHAMEECE™超細纖維，柔軟親膚、彈性佳，質輕且保暖。
◎ 袖口專利螺紋立體剪裁，服貼腕部，增加活動的舒適性。</t>
        </is>
      </c>
    </row>
    <row r="697">
      <c r="A697" t="inlineStr"/>
      <c r="B697" t="inlineStr"/>
      <c r="C697" t="inlineStr">
        <is>
          <t>THERMAL</t>
        </is>
      </c>
      <c r="D697">
        <f>U697</f>
        <v/>
      </c>
      <c r="E697" t="n">
        <v>1105775</v>
      </c>
      <c r="F697" t="inlineStr">
        <is>
          <t>CHAMEECE PANTS MEN'S</t>
        </is>
      </c>
      <c r="G697" t="inlineStr">
        <is>
          <t>BK</t>
        </is>
      </c>
      <c r="H697" t="inlineStr">
        <is>
          <t>BK</t>
        </is>
      </c>
      <c r="I697">
        <f>VLOOKUP(H697,[1]尺寸簡表!$C$3:$D$1263,2,0)</f>
        <v/>
      </c>
      <c r="J697" t="n">
        <v>1880</v>
      </c>
      <c r="K697" t="inlineStr">
        <is>
          <t>◎ CHAMEECE™超細纖維，柔軟親膚、彈性佳，質輕且保暖。
◎ 腰部鬆緊帶的設計，前面兩個口袋、臀部附一個帶拉鍊的口袋，具彈性可外穿亦可當中層褲。</t>
        </is>
      </c>
    </row>
    <row r="698">
      <c r="A698" t="inlineStr"/>
      <c r="B698" t="inlineStr"/>
      <c r="C698" t="inlineStr">
        <is>
          <t>THERMAL</t>
        </is>
      </c>
      <c r="D698">
        <f>U698</f>
        <v/>
      </c>
      <c r="E698" t="n">
        <v>1105776</v>
      </c>
      <c r="F698" t="inlineStr">
        <is>
          <t>CHAMEECE PANTS WOMEN'S</t>
        </is>
      </c>
      <c r="G698" t="inlineStr">
        <is>
          <t>BK</t>
        </is>
      </c>
      <c r="H698" t="inlineStr">
        <is>
          <t>BK</t>
        </is>
      </c>
      <c r="I698">
        <f>VLOOKUP(H698,[1]尺寸簡表!$C$3:$D$1263,2,0)</f>
        <v/>
      </c>
      <c r="J698" t="n">
        <v>1660</v>
      </c>
      <c r="K698" t="inlineStr">
        <is>
          <t>◎ CHAMEECE™超細纖維，柔軟親膚、彈性佳，質輕且保暖。
◎ 腰部鬆緊帶的設計，前面兩個口袋、臀部附一個帶拉鍊的口袋，具彈性可外穿亦可當中層褲。</t>
        </is>
      </c>
    </row>
    <row r="699">
      <c r="A699" t="inlineStr"/>
      <c r="B699" t="inlineStr"/>
      <c r="C699" t="inlineStr">
        <is>
          <t>THERMAL</t>
        </is>
      </c>
      <c r="D699">
        <f>U699</f>
        <v/>
      </c>
      <c r="E699" t="n">
        <v>1114883</v>
      </c>
      <c r="F699" t="inlineStr">
        <is>
          <t>CHAMEECE PULLOVER MEN'S</t>
        </is>
      </c>
      <c r="G699" t="inlineStr">
        <is>
          <t>BL      DGY      IV      OG</t>
        </is>
      </c>
      <c r="H699" t="inlineStr">
        <is>
          <t>BL      DGY</t>
        </is>
      </c>
      <c r="I699">
        <f>VLOOKUP(H699,[1]尺寸簡表!$C$3:$D$1263,2,0)</f>
        <v/>
      </c>
      <c r="J699" t="n">
        <v>1700</v>
      </c>
      <c r="K699" t="inlineStr">
        <is>
          <t>◎ CHAMEECE™超細纖維，柔軟親膚、彈性佳，質輕且保暖。
◎ 袖口專利螺紋立體剪裁，服貼腕部，增加活動的舒適性。</t>
        </is>
      </c>
    </row>
    <row r="700">
      <c r="A700" t="inlineStr"/>
      <c r="B700" t="inlineStr"/>
      <c r="C700" t="inlineStr">
        <is>
          <t>THERMAL</t>
        </is>
      </c>
      <c r="D700">
        <f>U700</f>
        <v/>
      </c>
      <c r="E700" t="n">
        <v>1114884</v>
      </c>
      <c r="F700" t="inlineStr">
        <is>
          <t>CHAMEECE PULLOVER WOMEN'S</t>
        </is>
      </c>
      <c r="G700" t="inlineStr">
        <is>
          <t>CPK      DGY      IV</t>
        </is>
      </c>
      <c r="H700" t="inlineStr">
        <is>
          <t>IV</t>
        </is>
      </c>
      <c r="I700">
        <f>VLOOKUP(H700,[1]尺寸簡表!$C$3:$D$1263,2,0)</f>
        <v/>
      </c>
      <c r="J700" t="n">
        <v>1520</v>
      </c>
      <c r="K700" t="inlineStr">
        <is>
          <t>◎ CHAMEECE™超細纖維，柔軟親膚、彈性佳，質輕且保暖。
◎ 袖口專利螺紋立體剪裁，服貼腕部，增加活動的舒適性。</t>
        </is>
      </c>
    </row>
    <row r="701">
      <c r="A701" t="inlineStr"/>
      <c r="B701" t="inlineStr"/>
      <c r="C701" t="inlineStr">
        <is>
          <t>THERMAL</t>
        </is>
      </c>
      <c r="D701">
        <f>U701</f>
        <v/>
      </c>
      <c r="E701" t="n">
        <v>1114877</v>
      </c>
      <c r="F701" t="inlineStr">
        <is>
          <t>CHAMEECE REVERSIBLE JACKET MEN'S</t>
        </is>
      </c>
      <c r="G701" t="inlineStr">
        <is>
          <t>BK1      DGN1      NV1</t>
        </is>
      </c>
      <c r="H701" t="inlineStr">
        <is>
          <t>DGN1</t>
        </is>
      </c>
      <c r="I701">
        <f>VLOOKUP(H701,[1]尺寸簡表!$C$3:$D$1263,2,0)</f>
        <v/>
      </c>
      <c r="J701" t="n">
        <v>4170</v>
      </c>
      <c r="K701" t="inlineStr">
        <is>
          <t>◎ 外層：20D Ballistic®抗撕裂尼龍布（撥水加工）。
◎ 內層：CHAMEECE™，可兩面穿著。</t>
        </is>
      </c>
    </row>
    <row r="702">
      <c r="A702" t="inlineStr"/>
      <c r="B702" t="inlineStr"/>
      <c r="C702" t="inlineStr">
        <is>
          <t>THERMAL</t>
        </is>
      </c>
      <c r="D702">
        <f>U702</f>
        <v/>
      </c>
      <c r="E702" t="n">
        <v>1114878</v>
      </c>
      <c r="F702" t="inlineStr">
        <is>
          <t>CHAMEECE REVERSIBLE JACKET WOMEN'S</t>
        </is>
      </c>
      <c r="G702" t="inlineStr">
        <is>
          <t>KH      NV1      PU</t>
        </is>
      </c>
      <c r="H702" t="inlineStr">
        <is>
          <t>KH</t>
        </is>
      </c>
      <c r="I702">
        <f>VLOOKUP(H702,[1]尺寸簡表!$C$3:$D$1263,2,0)</f>
        <v/>
      </c>
      <c r="J702" t="n">
        <v>3860</v>
      </c>
      <c r="K702" t="inlineStr">
        <is>
          <t>◎ 外層：20D Ballistic®抗撕裂尼龍布（撥水加工）。
◎ 內層：CHAMEECE™，可兩面穿著。</t>
        </is>
      </c>
    </row>
    <row r="703">
      <c r="A703" t="inlineStr"/>
      <c r="B703" t="inlineStr"/>
      <c r="C703" t="inlineStr">
        <is>
          <t>THERMAL</t>
        </is>
      </c>
      <c r="D703">
        <f>U703</f>
        <v/>
      </c>
      <c r="E703" t="n">
        <v>1114879</v>
      </c>
      <c r="F703" t="inlineStr">
        <is>
          <t>CHAMEECE REVERSIBLE VEST MEN'S</t>
        </is>
      </c>
      <c r="G703" t="inlineStr">
        <is>
          <t>BK1      NV</t>
        </is>
      </c>
      <c r="H703" t="inlineStr">
        <is>
          <t>BK1</t>
        </is>
      </c>
      <c r="I703">
        <f>VLOOKUP(H703,[1]尺寸簡表!$C$3:$D$1263,2,0)</f>
        <v/>
      </c>
      <c r="J703" t="n">
        <v>3550</v>
      </c>
      <c r="K703" t="inlineStr">
        <is>
          <t>◎ 外層：20D Ballistic®抗撕裂尼龍布（撥水加工）。
◎ 內層：CHAMEECE™，可兩面穿著。</t>
        </is>
      </c>
    </row>
    <row r="704">
      <c r="A704" t="inlineStr"/>
      <c r="B704" t="inlineStr"/>
      <c r="C704" t="inlineStr">
        <is>
          <t>THERMAL</t>
        </is>
      </c>
      <c r="D704">
        <f>U704</f>
        <v/>
      </c>
      <c r="E704" t="n">
        <v>1114880</v>
      </c>
      <c r="F704" t="inlineStr">
        <is>
          <t>CHAMEECE REVERSIBLE VEST WOMEN'S</t>
        </is>
      </c>
      <c r="G704" t="inlineStr">
        <is>
          <t>KH      NV1</t>
        </is>
      </c>
      <c r="H704" t="inlineStr">
        <is>
          <t>NV1</t>
        </is>
      </c>
      <c r="I704">
        <f>VLOOKUP(H704,[1]尺寸簡表!$C$3:$D$1263,2,0)</f>
        <v/>
      </c>
      <c r="J704" t="n">
        <v>3240</v>
      </c>
      <c r="K704" t="inlineStr">
        <is>
          <t>◎ 外層：20D Ballistic®抗撕裂尼龍布（撥水加工）。
◎ 內層：CHAMEECE™，可兩面穿著。</t>
        </is>
      </c>
    </row>
    <row r="705">
      <c r="A705" t="inlineStr"/>
      <c r="B705" t="inlineStr"/>
      <c r="C705" t="inlineStr">
        <is>
          <t>THERMAL</t>
        </is>
      </c>
      <c r="D705">
        <f>U705</f>
        <v/>
      </c>
      <c r="E705" t="n">
        <v>1114885</v>
      </c>
      <c r="F705" t="inlineStr">
        <is>
          <t>CHAMEECE VEST MEN'S</t>
        </is>
      </c>
      <c r="G705" t="inlineStr">
        <is>
          <t>BGN      BK      IV</t>
        </is>
      </c>
      <c r="H705" t="inlineStr">
        <is>
          <t>BGN</t>
        </is>
      </c>
      <c r="I705">
        <f>VLOOKUP(H705,[1]尺寸簡表!$C$3:$D$1263,2,0)</f>
        <v/>
      </c>
      <c r="J705" t="n">
        <v>1800</v>
      </c>
      <c r="K705" t="inlineStr">
        <is>
          <t>◎ CHAMEECE™超細纖維，柔軟親膚、彈性佳，質輕且保暖。
◎ 可內搭、外穿，上班或旅行皆適用。</t>
        </is>
      </c>
    </row>
    <row r="706">
      <c r="A706" t="inlineStr"/>
      <c r="B706" t="inlineStr"/>
      <c r="C706" t="inlineStr">
        <is>
          <t>THERMAL</t>
        </is>
      </c>
      <c r="D706">
        <f>U706</f>
        <v/>
      </c>
      <c r="E706" t="n">
        <v>1114886</v>
      </c>
      <c r="F706" t="inlineStr">
        <is>
          <t>CHAMEECE VEST WOMEN'S</t>
        </is>
      </c>
      <c r="G706" t="inlineStr">
        <is>
          <t>BL      DGY      LGY</t>
        </is>
      </c>
      <c r="H706" t="inlineStr">
        <is>
          <t>LGY</t>
        </is>
      </c>
      <c r="I706">
        <f>VLOOKUP(H706,[1]尺寸簡表!$C$3:$D$1263,2,0)</f>
        <v/>
      </c>
      <c r="J706" t="n">
        <v>1620</v>
      </c>
      <c r="K706" t="inlineStr">
        <is>
          <t>◎ CHAMEECE™超細纖維，柔軟親膚、彈性佳，質輕且保暖。
◎ 可內搭、外穿，上班或旅行皆適用。</t>
        </is>
      </c>
    </row>
    <row r="707">
      <c r="A707" t="inlineStr"/>
      <c r="B707" t="inlineStr"/>
      <c r="C707" t="inlineStr">
        <is>
          <t>THERMAL</t>
        </is>
      </c>
      <c r="D707">
        <f>U707</f>
        <v/>
      </c>
      <c r="E707" t="n">
        <v>1106690</v>
      </c>
      <c r="F707" t="inlineStr">
        <is>
          <t>CLIMAAIR JACKET MEN'S</t>
        </is>
      </c>
      <c r="G707" t="inlineStr">
        <is>
          <t>BGY      BK      DKNV      IV      OG      RD</t>
        </is>
      </c>
      <c r="I707">
        <f>VLOOKUP(H707,[1]尺寸簡表!$C$3:$D$1263,2,0)</f>
        <v/>
      </c>
      <c r="J707" t="n">
        <v>3440</v>
      </c>
      <c r="K707" t="inlineStr">
        <is>
          <t>◎ 主體：CLIMAAIR®、身側及袖口：STRETCH CLIMAPLUS®彈性布料。
◎ 袖口採用彈性布料，服貼腕部並有拇指穿孔，增加活動的舒適性。</t>
        </is>
      </c>
    </row>
    <row r="708">
      <c r="A708" t="inlineStr"/>
      <c r="B708" t="inlineStr"/>
      <c r="C708" t="inlineStr">
        <is>
          <t>THERMAL</t>
        </is>
      </c>
      <c r="D708">
        <f>U708</f>
        <v/>
      </c>
      <c r="E708" t="n">
        <v>1106691</v>
      </c>
      <c r="F708" t="inlineStr">
        <is>
          <t>CLIMAAIR JACKET WOMEN'S</t>
        </is>
      </c>
      <c r="G708" t="inlineStr">
        <is>
          <t>DKNV      GY      IV1      RD</t>
        </is>
      </c>
      <c r="H708" t="inlineStr">
        <is>
          <t>IV1</t>
        </is>
      </c>
      <c r="I708">
        <f>VLOOKUP(H708,[1]尺寸簡表!$C$3:$D$1263,2,0)</f>
        <v/>
      </c>
      <c r="J708" t="n">
        <v>3200</v>
      </c>
      <c r="K708" t="inlineStr">
        <is>
          <t>◎ 主體：CLIMAAIR®、身側及袖口：STRETCH CLIMAPLUS®彈性布料。
◎ 袖口採用彈性布料，服貼腕部並有拇指穿孔，增加活動的舒適性。</t>
        </is>
      </c>
    </row>
    <row r="709">
      <c r="A709" t="inlineStr"/>
      <c r="B709" t="inlineStr"/>
      <c r="C709" t="inlineStr">
        <is>
          <t>THERMAL</t>
        </is>
      </c>
      <c r="D709">
        <f>U709</f>
        <v/>
      </c>
      <c r="E709" t="n">
        <v>1106688</v>
      </c>
      <c r="F709" t="inlineStr">
        <is>
          <t>CLIMAAIR LINED JACKET MEN'S</t>
        </is>
      </c>
      <c r="G709" t="inlineStr">
        <is>
          <t>BK      DGN      NV</t>
        </is>
      </c>
      <c r="I709">
        <f>VLOOKUP(H709,[1]尺寸簡表!$C$3:$D$1263,2,0)</f>
        <v/>
      </c>
      <c r="J709" t="n">
        <v>4200</v>
      </c>
      <c r="K709" t="inlineStr">
        <is>
          <t>◎ 表布：CLIMAAIR®、內裡：12D Ballistic®抗撕裂尼龍布。</t>
        </is>
      </c>
    </row>
    <row r="710">
      <c r="A710" t="inlineStr"/>
      <c r="B710" t="inlineStr"/>
      <c r="C710" t="inlineStr">
        <is>
          <t>THERMAL</t>
        </is>
      </c>
      <c r="D710">
        <f>U710</f>
        <v/>
      </c>
      <c r="E710" t="n">
        <v>1106689</v>
      </c>
      <c r="F710" t="inlineStr">
        <is>
          <t>CLIMAAIR LINED JACKET WOMEN'S</t>
        </is>
      </c>
      <c r="G710" t="inlineStr">
        <is>
          <t>IV      NV      STGN</t>
        </is>
      </c>
      <c r="I710">
        <f>VLOOKUP(H710,[1]尺寸簡表!$C$3:$D$1263,2,0)</f>
        <v/>
      </c>
      <c r="J710" t="n">
        <v>4030</v>
      </c>
      <c r="K710" t="inlineStr">
        <is>
          <t>◎ 表布：CLIMAAIR®、內裡：12D Ballistic®抗撕裂尼龍布。</t>
        </is>
      </c>
    </row>
    <row r="711">
      <c r="A711" t="inlineStr"/>
      <c r="B711" t="inlineStr"/>
      <c r="C711" t="inlineStr">
        <is>
          <t>THERMAL</t>
        </is>
      </c>
      <c r="D711">
        <f>U711</f>
        <v/>
      </c>
      <c r="E711" t="n">
        <v>1106792</v>
      </c>
      <c r="F711" t="inlineStr">
        <is>
          <t>CLIMAAIR REVERSIBLE JACKET MEN'S</t>
        </is>
      </c>
      <c r="G711" t="inlineStr">
        <is>
          <t>BK      DBN      DTL</t>
        </is>
      </c>
      <c r="H711" t="inlineStr">
        <is>
          <t>DBN</t>
        </is>
      </c>
      <c r="I711">
        <f>VLOOKUP(H711,[1]尺寸簡表!$C$3:$D$1263,2,0)</f>
        <v/>
      </c>
      <c r="J711" t="n">
        <v>5500</v>
      </c>
      <c r="K711" t="inlineStr">
        <is>
          <t>◎ 一面30D (SUPER) DRYTEC 2L（耐水壓20,000mm+）表布、另一面CLIMAAIR®觸感柔順的長刷毛。
◎ 可雙面穿著，兼具保暖、防風、透氣、輕量等功能，適合在寒冷多變的氣候時調節穿搭。</t>
        </is>
      </c>
    </row>
    <row r="712">
      <c r="A712" t="inlineStr"/>
      <c r="B712" t="inlineStr"/>
      <c r="C712" t="inlineStr">
        <is>
          <t>THERMAL</t>
        </is>
      </c>
      <c r="D712">
        <f>U712</f>
        <v/>
      </c>
      <c r="E712" t="n">
        <v>1106692</v>
      </c>
      <c r="F712" t="inlineStr">
        <is>
          <t>CLIMAAIR VEST MEN'S</t>
        </is>
      </c>
      <c r="G712" t="inlineStr">
        <is>
          <t>BK      DBN      IV</t>
        </is>
      </c>
      <c r="H712" t="inlineStr">
        <is>
          <t>DBN      BK</t>
        </is>
      </c>
      <c r="I712">
        <f>VLOOKUP(H712,[1]尺寸簡表!$C$3:$D$1263,2,0)</f>
        <v/>
      </c>
      <c r="J712" t="n">
        <v>2700</v>
      </c>
      <c r="K712" t="inlineStr">
        <is>
          <t>◎ 主體：CLIMAAIR®、身側：STRETCH CLIMAPLUS®彈性布料。</t>
        </is>
      </c>
    </row>
    <row r="713">
      <c r="A713" t="inlineStr"/>
      <c r="B713" t="inlineStr"/>
      <c r="C713" t="inlineStr">
        <is>
          <t>THERMAL</t>
        </is>
      </c>
      <c r="D713">
        <f>U713</f>
        <v/>
      </c>
      <c r="E713" t="n">
        <v>1106693</v>
      </c>
      <c r="F713" t="inlineStr">
        <is>
          <t>CLIMAAIR VEST WOMEN'S</t>
        </is>
      </c>
      <c r="G713" t="inlineStr">
        <is>
          <t>DKNV      GY      IV1</t>
        </is>
      </c>
      <c r="H713" t="inlineStr">
        <is>
          <t>GY</t>
        </is>
      </c>
      <c r="I713">
        <f>VLOOKUP(H713,[1]尺寸簡表!$C$3:$D$1263,2,0)</f>
        <v/>
      </c>
      <c r="J713" t="n">
        <v>2600</v>
      </c>
      <c r="K713" t="inlineStr">
        <is>
          <t>◎ 主體：CLIMAAIR®、身側：STRETCH CLIMAPLUS®彈性布料。</t>
        </is>
      </c>
    </row>
    <row r="714">
      <c r="A714" t="inlineStr"/>
      <c r="B714" t="inlineStr"/>
      <c r="C714" t="inlineStr">
        <is>
          <t>THERMAL</t>
        </is>
      </c>
      <c r="D714">
        <f>U714</f>
        <v/>
      </c>
      <c r="E714" t="n">
        <v>1106793</v>
      </c>
      <c r="F714" t="inlineStr">
        <is>
          <t>CLIMAGRID HOODED JACKET MEN'S</t>
        </is>
      </c>
      <c r="G714" t="inlineStr">
        <is>
          <t>BK      DGN      DTL      OG      RD</t>
        </is>
      </c>
      <c r="H714" t="inlineStr">
        <is>
          <t>BK</t>
        </is>
      </c>
      <c r="I714">
        <f>VLOOKUP(H714,[1]尺寸簡表!$C$3:$D$1263,2,0)</f>
        <v/>
      </c>
      <c r="J714" t="n">
        <v>2250</v>
      </c>
      <c r="K714" t="inlineStr">
        <is>
          <t>◎ 表布：CLIMAGRID(聚酯纖維100%)，具有彈性、內裡薄刷毛，快乾、透氣、保暖，最適合在寒冷環境中高活動量運動時使用。</t>
        </is>
      </c>
    </row>
    <row r="715">
      <c r="A715" t="inlineStr"/>
      <c r="B715" t="inlineStr"/>
      <c r="C715" t="inlineStr">
        <is>
          <t>THERMAL</t>
        </is>
      </c>
      <c r="D715">
        <f>U715</f>
        <v/>
      </c>
      <c r="E715" t="n">
        <v>1106794</v>
      </c>
      <c r="F715" t="inlineStr">
        <is>
          <t>CLIMAGRID HOODED JACKET WOMEN'S</t>
        </is>
      </c>
      <c r="G715" t="inlineStr">
        <is>
          <t>BK      DGY      IV      OG</t>
        </is>
      </c>
      <c r="H715" t="inlineStr">
        <is>
          <t>DGY</t>
        </is>
      </c>
      <c r="I715">
        <f>VLOOKUP(H715,[1]尺寸簡表!$C$3:$D$1263,2,0)</f>
        <v/>
      </c>
      <c r="J715" t="n">
        <v>2160</v>
      </c>
      <c r="K715" t="inlineStr">
        <is>
          <t>◎ 表布：CLIMAGRID(聚酯纖維100%)，具有彈性、內裡薄刷毛，快乾、透氣、保暖，最適合在寒冷環境中高活動量運動時使用。</t>
        </is>
      </c>
    </row>
    <row r="716">
      <c r="A716" t="inlineStr"/>
      <c r="B716" t="inlineStr"/>
      <c r="C716" t="inlineStr">
        <is>
          <t>THERMAL</t>
        </is>
      </c>
      <c r="D716">
        <f>U716</f>
        <v/>
      </c>
      <c r="E716" t="n">
        <v>1106795</v>
      </c>
      <c r="F716" t="inlineStr">
        <is>
          <t>CLIMAGRID JACKET MEN'S</t>
        </is>
      </c>
      <c r="G716" t="inlineStr">
        <is>
          <t>BGY      BK      DTL      GN1      RD</t>
        </is>
      </c>
      <c r="H716" t="inlineStr">
        <is>
          <t>BK</t>
        </is>
      </c>
      <c r="I716">
        <f>VLOOKUP(H716,[1]尺寸簡表!$C$3:$D$1263,2,0)</f>
        <v/>
      </c>
      <c r="J716" t="n">
        <v>2160</v>
      </c>
      <c r="K716" t="inlineStr">
        <is>
          <t>◎ 表布：CLIMAGRID(聚酯纖維100%)，具有彈性、內裡薄刷毛，快乾、透氣、保暖，最適合在寒冷環境中高活動量運動時使用。</t>
        </is>
      </c>
    </row>
    <row r="717">
      <c r="A717" t="inlineStr"/>
      <c r="B717" t="inlineStr"/>
      <c r="C717" t="inlineStr">
        <is>
          <t>THERMAL</t>
        </is>
      </c>
      <c r="D717">
        <f>U717</f>
        <v/>
      </c>
      <c r="E717" t="n">
        <v>1106796</v>
      </c>
      <c r="F717" t="inlineStr">
        <is>
          <t>CLIMAGRID JACKET WOMEN'S</t>
        </is>
      </c>
      <c r="G717" t="inlineStr">
        <is>
          <t>DGY      IV      OG</t>
        </is>
      </c>
      <c r="H717" t="inlineStr">
        <is>
          <t>DGY</t>
        </is>
      </c>
      <c r="I717">
        <f>VLOOKUP(H717,[1]尺寸簡表!$C$3:$D$1263,2,0)</f>
        <v/>
      </c>
      <c r="J717" t="n">
        <v>2070</v>
      </c>
      <c r="K717" t="inlineStr">
        <is>
          <t>◎ 表布：CLIMAGRID(聚酯纖維100%)，具有彈性、內裡薄刷毛，快乾、透氣、保暖，最適合在寒冷環境中高活動量運動時使用。</t>
        </is>
      </c>
    </row>
    <row r="718">
      <c r="A718" t="inlineStr"/>
      <c r="B718" t="inlineStr"/>
      <c r="C718" t="inlineStr">
        <is>
          <t>THERMAL</t>
        </is>
      </c>
      <c r="D718">
        <f>U718</f>
        <v/>
      </c>
      <c r="E718" t="n">
        <v>1106591</v>
      </c>
      <c r="F718" t="inlineStr">
        <is>
          <t>CLIMAPLUS 100 JACKET MEN'S</t>
        </is>
      </c>
      <c r="G718" t="inlineStr">
        <is>
          <t>DKNV      GN      IV      OG      RD      STBL</t>
        </is>
      </c>
      <c r="H718" t="inlineStr">
        <is>
          <t>RD      GN</t>
        </is>
      </c>
      <c r="I718">
        <f>VLOOKUP(H718,[1]尺寸簡表!$C$3:$D$1263,2,0)</f>
        <v/>
      </c>
      <c r="J718" t="n">
        <v>2480</v>
      </c>
      <c r="K718" t="inlineStr">
        <is>
          <t>◎ 使用CLIMAPLUS®100布料：具有彈性、快乾、透氣、保暖的特性。
◎ 除搭配日常服飾外，輕量保暖也可運用於快速移動的活動中；袖口拇指穿孔可防風。</t>
        </is>
      </c>
    </row>
    <row r="719">
      <c r="A719" t="inlineStr"/>
      <c r="B719" t="inlineStr"/>
      <c r="C719" t="inlineStr">
        <is>
          <t>THERMAL</t>
        </is>
      </c>
      <c r="D719">
        <f>U719</f>
        <v/>
      </c>
      <c r="E719" t="n">
        <v>1106592</v>
      </c>
      <c r="F719" t="inlineStr">
        <is>
          <t>CLIMAPLUS 100 JACKET WOMEN'S</t>
        </is>
      </c>
      <c r="G719" t="inlineStr">
        <is>
          <t>DBN25      DGY      EP      LBL      RSMT      YL</t>
        </is>
      </c>
      <c r="H719" t="inlineStr">
        <is>
          <t>DGY      LBL      DBN25</t>
        </is>
      </c>
      <c r="I719">
        <f>VLOOKUP(H719,[1]尺寸簡表!$C$3:$D$1263,2,0)</f>
        <v/>
      </c>
      <c r="J719" t="n">
        <v>2380</v>
      </c>
      <c r="K719" t="inlineStr">
        <is>
          <t>◎ 使用CLIMAPLUS®100布料：具有彈性、快乾、透氣、保暖的特性。
◎ 除搭配日常服飾外，輕量保暖也可運用於快速移動的活動中；袖口拇指穿孔可防風。</t>
        </is>
      </c>
    </row>
    <row r="720">
      <c r="A720" t="inlineStr"/>
      <c r="B720" t="inlineStr"/>
      <c r="C720" t="inlineStr">
        <is>
          <t>THERMAL</t>
        </is>
      </c>
      <c r="D720">
        <f>U720</f>
        <v/>
      </c>
      <c r="E720" t="n">
        <v>1106605</v>
      </c>
      <c r="F720" t="inlineStr">
        <is>
          <t>CLIMAPLUS 100 LITE SWEATPANTS MEN'S</t>
        </is>
      </c>
      <c r="G720" t="inlineStr">
        <is>
          <t>BGN      BK</t>
        </is>
      </c>
      <c r="H720" t="inlineStr">
        <is>
          <t>BGN</t>
        </is>
      </c>
      <c r="I720">
        <f>VLOOKUP(H720,[1]尺寸簡表!$C$3:$D$1263,2,0)</f>
        <v/>
      </c>
      <c r="J720" t="n">
        <v>1970</v>
      </c>
      <c r="K720" t="inlineStr">
        <is>
          <t>◎ 使用CLIMAPLUS®100布料：具有彈性、快乾、透氣、保暖的特性。</t>
        </is>
      </c>
    </row>
    <row r="721">
      <c r="A721" t="inlineStr"/>
      <c r="B721" t="inlineStr"/>
      <c r="C721" t="inlineStr">
        <is>
          <t>THERMAL</t>
        </is>
      </c>
      <c r="D721">
        <f>U721</f>
        <v/>
      </c>
      <c r="E721" t="n">
        <v>1106753</v>
      </c>
      <c r="F721" t="inlineStr">
        <is>
          <t>CLIMAPLUS 100 LITE SWEATSHIRT MEN'S</t>
        </is>
      </c>
      <c r="G721" t="inlineStr">
        <is>
          <t>DGN      DNV      IV      OG      PU</t>
        </is>
      </c>
      <c r="H721" t="inlineStr">
        <is>
          <t>PU</t>
        </is>
      </c>
      <c r="I721">
        <f>VLOOKUP(H721,[1]尺寸簡表!$C$3:$D$1263,2,0)</f>
        <v/>
      </c>
      <c r="J721" t="n">
        <v>1580</v>
      </c>
      <c r="K721" t="inlineStr">
        <is>
          <t>◎ 使用CLIMAPLUS®100布料：具有彈性、快乾、透氣、保暖的特性。
◎ 袖口專利螺紋立體剪裁，服貼腕部，增加活動的舒適性。</t>
        </is>
      </c>
    </row>
    <row r="722">
      <c r="A722" t="inlineStr"/>
      <c r="B722" t="inlineStr"/>
      <c r="C722" t="inlineStr">
        <is>
          <t>THERMAL</t>
        </is>
      </c>
      <c r="D722">
        <f>U722</f>
        <v/>
      </c>
      <c r="E722" t="n">
        <v>1106597</v>
      </c>
      <c r="F722" t="inlineStr">
        <is>
          <t>CLIMAPLUS 100 OUTER JACKET MEN'S</t>
        </is>
      </c>
      <c r="G722" t="inlineStr">
        <is>
          <t>BK      IV      NV      WRD</t>
        </is>
      </c>
      <c r="I722">
        <f>VLOOKUP(H722,[1]尺寸簡表!$C$3:$D$1263,2,0)</f>
        <v/>
      </c>
      <c r="J722" t="n">
        <v>2500</v>
      </c>
      <c r="K722" t="inlineStr">
        <is>
          <t>◎ 使用CLIMAPLUS®100布料：具有彈性、快乾、透氣、保暖的特性。
◎ 除搭配日常服飾外，輕量保暖也可運用於快速移動的活動中；袖口拇指穿孔可防風。</t>
        </is>
      </c>
    </row>
    <row r="723">
      <c r="A723" t="inlineStr"/>
      <c r="B723" t="inlineStr"/>
      <c r="C723" t="inlineStr">
        <is>
          <t>THERMAL</t>
        </is>
      </c>
      <c r="D723">
        <f>U723</f>
        <v/>
      </c>
      <c r="E723" t="n">
        <v>1106598</v>
      </c>
      <c r="F723" t="inlineStr">
        <is>
          <t>CLIMAPLUS 100 OUTER JACKET WOMEN'S</t>
        </is>
      </c>
      <c r="G723" t="inlineStr">
        <is>
          <t>DBN25      IV22      PU</t>
        </is>
      </c>
      <c r="I723">
        <f>VLOOKUP(H723,[1]尺寸簡表!$C$3:$D$1263,2,0)</f>
        <v/>
      </c>
      <c r="J723" t="n">
        <v>2460</v>
      </c>
      <c r="K723" t="inlineStr">
        <is>
          <t>◎ 使用CLIMAPLUS®100布料：具有彈性、快乾、透氣、保暖的特性。
◎ 除搭配日常服飾外，輕量保暖也可運用於快速移動的活動中；袖口拇指穿孔可防風。</t>
        </is>
      </c>
    </row>
    <row r="724">
      <c r="A724" t="inlineStr">
        <is>
          <t>促銷款</t>
        </is>
      </c>
      <c r="B724" t="inlineStr">
        <is>
          <t>活動款</t>
        </is>
      </c>
      <c r="C724" t="inlineStr">
        <is>
          <t>THERMAL</t>
        </is>
      </c>
      <c r="D724">
        <f>U724</f>
        <v/>
      </c>
      <c r="E724" t="n">
        <v>1106593</v>
      </c>
      <c r="F724" t="inlineStr">
        <is>
          <t>CLIMAPLUS 100 PULLOVER MEN'S</t>
        </is>
      </c>
      <c r="G724" t="inlineStr">
        <is>
          <t>BK25      BLBK      IV</t>
        </is>
      </c>
      <c r="H724" t="inlineStr">
        <is>
          <t>BK25</t>
        </is>
      </c>
      <c r="I724">
        <f>VLOOKUP(H724,[1]尺寸簡表!$C$3:$D$1263,2,0)</f>
        <v/>
      </c>
      <c r="J724" t="n">
        <v>1800</v>
      </c>
      <c r="K724" t="inlineStr">
        <is>
          <t>◎ 使用CLIMAPLUS®100布料：具有彈性、快乾、透氣、保暖的特性。
◎ 除搭配日常服飾外，輕量保暖也可運用於快速移動的活動中；袖口拇指穿孔可防風。</t>
        </is>
      </c>
    </row>
    <row r="725">
      <c r="A725" t="inlineStr">
        <is>
          <t>促銷款</t>
        </is>
      </c>
      <c r="B725" t="inlineStr">
        <is>
          <t>活動款</t>
        </is>
      </c>
      <c r="C725" t="inlineStr">
        <is>
          <t>THERMAL</t>
        </is>
      </c>
      <c r="D725">
        <f>U725</f>
        <v/>
      </c>
      <c r="E725" t="n">
        <v>1106594</v>
      </c>
      <c r="F725" t="inlineStr">
        <is>
          <t>CLIMAPLUS 100 PULLOVER WOMEN'S</t>
        </is>
      </c>
      <c r="G725" t="inlineStr">
        <is>
          <t>DGY      YL</t>
        </is>
      </c>
      <c r="H725" t="inlineStr">
        <is>
          <t>DGY      YL</t>
        </is>
      </c>
      <c r="I725">
        <f>VLOOKUP(H725,[1]尺寸簡表!$C$3:$D$1263,2,0)</f>
        <v/>
      </c>
      <c r="J725" t="n">
        <v>1720</v>
      </c>
      <c r="K725" t="inlineStr">
        <is>
          <t>◎ 使用CLIMAPLUS®100布料：具有彈性、快乾、透氣、保暖的特性。
◎ 除搭配日常服飾外，輕量保暖也可運用於快速移動的活動中；袖口拇指穿孔可防風。</t>
        </is>
      </c>
    </row>
    <row r="726">
      <c r="A726" t="inlineStr"/>
      <c r="B726" t="inlineStr"/>
      <c r="C726" t="inlineStr">
        <is>
          <t>THERMAL</t>
        </is>
      </c>
      <c r="D726">
        <f>U726</f>
        <v/>
      </c>
      <c r="E726" t="n">
        <v>1106601</v>
      </c>
      <c r="F726" t="inlineStr">
        <is>
          <t>CLIMAPLUS 100 VEST MEN'S</t>
        </is>
      </c>
      <c r="G726" t="inlineStr">
        <is>
          <t>IV      PUID      STBL</t>
        </is>
      </c>
      <c r="H726" t="inlineStr">
        <is>
          <t>STBL</t>
        </is>
      </c>
      <c r="I726">
        <f>VLOOKUP(H726,[1]尺寸簡表!$C$3:$D$1263,2,0)</f>
        <v/>
      </c>
      <c r="J726" t="n">
        <v>1230</v>
      </c>
      <c r="K726" t="inlineStr">
        <is>
          <t>◎ 使用CLIMAPLUS®100布料：具有彈性、快乾、透氣、保暖的特性。
◎ 除搭配日常服飾外，輕量保暖也可運用於快速移動的活動中。</t>
        </is>
      </c>
    </row>
    <row r="727">
      <c r="A727" t="inlineStr"/>
      <c r="B727" t="inlineStr"/>
      <c r="C727" t="inlineStr">
        <is>
          <t>THERMAL</t>
        </is>
      </c>
      <c r="D727">
        <f>U727</f>
        <v/>
      </c>
      <c r="E727" t="n">
        <v>1106599</v>
      </c>
      <c r="F727" t="inlineStr">
        <is>
          <t>CLIMAPLUS 100 WARM UP HOODED JACKET MEN'S</t>
        </is>
      </c>
      <c r="G727" t="inlineStr">
        <is>
          <t>GY      IV      NV</t>
        </is>
      </c>
      <c r="H727" t="inlineStr">
        <is>
          <t>GY      NV</t>
        </is>
      </c>
      <c r="I727">
        <f>VLOOKUP(H727,[1]尺寸簡表!$C$3:$D$1263,2,0)</f>
        <v/>
      </c>
      <c r="J727" t="n">
        <v>2520</v>
      </c>
      <c r="K727" t="inlineStr">
        <is>
          <t>◎ 使用CLIMAPLUS®100布料：具有彈性、快乾、透氣、保暖的特性。
◎ 除搭配日常服飾外，輕量保暖也可運用於快速移動的活動中；袖口拇指穿孔可防風。</t>
        </is>
      </c>
    </row>
    <row r="728">
      <c r="A728" t="inlineStr"/>
      <c r="B728" t="inlineStr"/>
      <c r="C728" t="inlineStr">
        <is>
          <t>THERMAL</t>
        </is>
      </c>
      <c r="D728">
        <f>U728</f>
        <v/>
      </c>
      <c r="E728" t="n">
        <v>1106600</v>
      </c>
      <c r="F728" t="inlineStr">
        <is>
          <t>CLIMAPLUS 100 WARM UP HOODED JACKET WOMEN'S</t>
        </is>
      </c>
      <c r="G728" t="inlineStr">
        <is>
          <t>DGY      IV</t>
        </is>
      </c>
      <c r="H728" t="inlineStr">
        <is>
          <t>IV</t>
        </is>
      </c>
      <c r="I728">
        <f>VLOOKUP(H728,[1]尺寸簡表!$C$3:$D$1263,2,0)</f>
        <v/>
      </c>
      <c r="J728" t="n">
        <v>2420</v>
      </c>
      <c r="K728" t="inlineStr">
        <is>
          <t>◎ 使用CLIMAPLUS®100布料：具有彈性、快乾、透氣、保暖的特性。
◎ 除搭配日常服飾外，輕量保暖也可運用於快速移動的活動中；袖口拇指穿孔可防風。</t>
        </is>
      </c>
    </row>
    <row r="729">
      <c r="A729" t="inlineStr"/>
      <c r="B729" t="inlineStr"/>
      <c r="C729" t="inlineStr">
        <is>
          <t>THERMAL</t>
        </is>
      </c>
      <c r="D729">
        <f>U729</f>
        <v/>
      </c>
      <c r="E729" t="n">
        <v>1106603</v>
      </c>
      <c r="F729" t="inlineStr">
        <is>
          <t>CLIMAPLUS 100 ZIP VEST MEN'S</t>
        </is>
      </c>
      <c r="G729" t="inlineStr">
        <is>
          <t>PUID      RD      STBL</t>
        </is>
      </c>
      <c r="H729" t="inlineStr">
        <is>
          <t>PUID</t>
        </is>
      </c>
      <c r="I729">
        <f>VLOOKUP(H729,[1]尺寸簡表!$C$3:$D$1263,2,0)</f>
        <v/>
      </c>
      <c r="J729" t="n">
        <v>2200</v>
      </c>
      <c r="K729" t="inlineStr">
        <is>
          <t>◎ 使用CLIMAPLUS®100布料：具有彈性、快乾、透氣、保暖的特性。
◎ 除搭配日常服飾外，輕量保暖也可運用於快速移動的活動中。</t>
        </is>
      </c>
    </row>
    <row r="730">
      <c r="A730" t="inlineStr"/>
      <c r="B730" t="inlineStr"/>
      <c r="C730" t="inlineStr">
        <is>
          <t>THERMAL</t>
        </is>
      </c>
      <c r="D730">
        <f>U730</f>
        <v/>
      </c>
      <c r="E730" t="n">
        <v>1106604</v>
      </c>
      <c r="F730" t="inlineStr">
        <is>
          <t>CLIMAPLUS 100 ZIP VEST WOMEN'S</t>
        </is>
      </c>
      <c r="G730" t="inlineStr">
        <is>
          <t>DGY      RSMT</t>
        </is>
      </c>
      <c r="H730" t="inlineStr">
        <is>
          <t>DGY</t>
        </is>
      </c>
      <c r="I730">
        <f>VLOOKUP(H730,[1]尺寸簡表!$C$3:$D$1263,2,0)</f>
        <v/>
      </c>
      <c r="J730" t="n">
        <v>2100</v>
      </c>
      <c r="K730" t="inlineStr">
        <is>
          <t>◎ 使用CLIMAPLUS®100布料：具有彈性、快乾、透氣、保暖的特性。
◎ 除搭配日常服飾外，輕量保暖也可運用於快速移動的活動中。</t>
        </is>
      </c>
    </row>
    <row r="731">
      <c r="A731" t="inlineStr"/>
      <c r="B731" t="inlineStr"/>
      <c r="C731" t="inlineStr">
        <is>
          <t>THERMAL</t>
        </is>
      </c>
      <c r="D731">
        <f>U731</f>
        <v/>
      </c>
      <c r="E731" t="n">
        <v>1106580</v>
      </c>
      <c r="F731" t="inlineStr">
        <is>
          <t>CLIMAPLUS 200 JACKET MEN'S</t>
        </is>
      </c>
      <c r="G731" t="inlineStr">
        <is>
          <t>BK      DGN      OTML      PUID</t>
        </is>
      </c>
      <c r="H731" t="inlineStr">
        <is>
          <t>DGN</t>
        </is>
      </c>
      <c r="I731">
        <f>VLOOKUP(H731,[1]尺寸簡表!$C$3:$D$1263,2,0)</f>
        <v/>
      </c>
      <c r="J731" t="n">
        <v>2770</v>
      </c>
      <c r="K731" t="inlineStr">
        <is>
          <t>◎ 使用CLIMAPLUS®200布料：體積適中，在細密的纖維之間儲存了大量的暖空氣，重量輕，但保持溫暖兼具彈性和透氣性。</t>
        </is>
      </c>
    </row>
    <row r="732">
      <c r="A732" t="inlineStr"/>
      <c r="B732" t="inlineStr"/>
      <c r="C732" t="inlineStr">
        <is>
          <t>THERMAL</t>
        </is>
      </c>
      <c r="D732">
        <f>U732</f>
        <v/>
      </c>
      <c r="E732" t="n">
        <v>1106581</v>
      </c>
      <c r="F732" t="inlineStr">
        <is>
          <t>CLIMAPLUS 200 JACKET WOMEN'S</t>
        </is>
      </c>
      <c r="G732" t="inlineStr">
        <is>
          <t>DBN      GY      OTML</t>
        </is>
      </c>
      <c r="H732" t="inlineStr">
        <is>
          <t>OTML</t>
        </is>
      </c>
      <c r="I732">
        <f>VLOOKUP(H732,[1]尺寸簡表!$C$3:$D$1263,2,0)</f>
        <v/>
      </c>
      <c r="J732" t="n">
        <v>2700</v>
      </c>
      <c r="K732" t="inlineStr">
        <is>
          <t>◎ 使用CLIMAPLUS®200布料：體積適中，在細密的纖維之間儲存了大量的暖空氣，重量輕，但保持溫暖兼具彈性和透氣性。</t>
        </is>
      </c>
    </row>
    <row r="733">
      <c r="A733" t="inlineStr"/>
      <c r="B733" t="inlineStr"/>
      <c r="C733" t="inlineStr">
        <is>
          <t>THERMAL</t>
        </is>
      </c>
      <c r="D733">
        <f>U733</f>
        <v/>
      </c>
      <c r="E733" t="n">
        <v>1106584</v>
      </c>
      <c r="F733" t="inlineStr">
        <is>
          <t>CLIMAPLUS 200 LINED JACKET MEN'S</t>
        </is>
      </c>
      <c r="G733" t="inlineStr">
        <is>
          <t>BK      HCH      IV      NV</t>
        </is>
      </c>
      <c r="H733" t="inlineStr">
        <is>
          <t>IV</t>
        </is>
      </c>
      <c r="I733">
        <f>VLOOKUP(H733,[1]尺寸簡表!$C$3:$D$1263,2,0)</f>
        <v/>
      </c>
      <c r="J733" t="n">
        <v>3900</v>
      </c>
      <c r="K733" t="inlineStr">
        <is>
          <t>◎ 表布：CLIMAPLUS®200、內裡：10D抗撕裂超輕量Ballistic®Airlight布料。</t>
        </is>
      </c>
    </row>
    <row r="734">
      <c r="A734" t="inlineStr"/>
      <c r="B734" t="inlineStr"/>
      <c r="C734" t="inlineStr">
        <is>
          <t>THERMAL</t>
        </is>
      </c>
      <c r="D734">
        <f>U734</f>
        <v/>
      </c>
      <c r="E734" t="n">
        <v>1106585</v>
      </c>
      <c r="F734" t="inlineStr">
        <is>
          <t>CLIMAPLUS 200 LINED JACKET WOMEN'S</t>
        </is>
      </c>
      <c r="G734" t="inlineStr">
        <is>
          <t>GY      OTML</t>
        </is>
      </c>
      <c r="H734" t="inlineStr">
        <is>
          <t>GY</t>
        </is>
      </c>
      <c r="I734">
        <f>VLOOKUP(H734,[1]尺寸簡表!$C$3:$D$1263,2,0)</f>
        <v/>
      </c>
      <c r="J734" t="n">
        <v>3800</v>
      </c>
      <c r="K734" t="inlineStr">
        <is>
          <t>◎ 表布：CLIMAPLUS®200、內裡：10D抗撕裂超輕量Ballistic®Airlight布料。</t>
        </is>
      </c>
    </row>
    <row r="735">
      <c r="A735" t="inlineStr"/>
      <c r="B735" t="inlineStr"/>
      <c r="C735" t="inlineStr">
        <is>
          <t>THERMAL</t>
        </is>
      </c>
      <c r="D735">
        <f>U735</f>
        <v/>
      </c>
      <c r="E735" t="n">
        <v>1106582</v>
      </c>
      <c r="F735" t="inlineStr">
        <is>
          <t>CLIMAPLUS 200 VEST MEN'S</t>
        </is>
      </c>
      <c r="G735" t="inlineStr">
        <is>
          <t>BK      HCH      PUID</t>
        </is>
      </c>
      <c r="I735">
        <f>VLOOKUP(H735,[1]尺寸簡表!$C$3:$D$1263,2,0)</f>
        <v/>
      </c>
      <c r="J735" t="n">
        <v>2440</v>
      </c>
      <c r="K735" t="inlineStr">
        <is>
          <t>◎ 使用CLIMAPLUS®200布料：體積適中，在細密的纖維之間儲存了大量的暖空氣，重量輕，但保持溫暖兼具彈性和透氣性。</t>
        </is>
      </c>
    </row>
    <row r="736">
      <c r="A736" t="inlineStr"/>
      <c r="B736" t="inlineStr"/>
      <c r="C736" t="inlineStr">
        <is>
          <t>THERMAL</t>
        </is>
      </c>
      <c r="D736">
        <f>U736</f>
        <v/>
      </c>
      <c r="E736" t="n">
        <v>1106583</v>
      </c>
      <c r="F736" t="inlineStr">
        <is>
          <t>CLIMAPLUS 200 VEST WOMEN'S</t>
        </is>
      </c>
      <c r="G736" t="inlineStr">
        <is>
          <t>GY      OTML</t>
        </is>
      </c>
      <c r="I736">
        <f>VLOOKUP(H736,[1]尺寸簡表!$C$3:$D$1263,2,0)</f>
        <v/>
      </c>
      <c r="J736" t="n">
        <v>2400</v>
      </c>
      <c r="K736" t="inlineStr">
        <is>
          <t>◎ 使用CLIMAPLUS®200布料：體積適中，在細密的纖維之間儲存了大量的暖空氣，重量輕，但保持溫暖兼具彈性和透氣性。</t>
        </is>
      </c>
    </row>
    <row r="737">
      <c r="A737" t="inlineStr"/>
      <c r="B737" t="inlineStr"/>
      <c r="C737" t="inlineStr">
        <is>
          <t>THERMAL</t>
        </is>
      </c>
      <c r="D737">
        <f>U737</f>
        <v/>
      </c>
      <c r="E737" t="n">
        <v>1106664</v>
      </c>
      <c r="F737" t="inlineStr">
        <is>
          <t>CLIMAPLUS KNIT CARDIGAN WOMEN'S</t>
        </is>
      </c>
      <c r="G737" t="inlineStr">
        <is>
          <t>BK      DBN      DKNV      IV</t>
        </is>
      </c>
      <c r="H737" t="inlineStr">
        <is>
          <t>BK</t>
        </is>
      </c>
      <c r="I737">
        <f>VLOOKUP(H737,[1]尺寸簡表!$C$3:$D$1263,2,0)</f>
        <v/>
      </c>
      <c r="J737" t="n">
        <v>2450</v>
      </c>
      <c r="K737" t="inlineStr">
        <is>
          <t>◎ 使用CLIMAPLUS®布料，具有彈性、快乾、透氣、保暖的特性。
◎ 外層針織表面增加穿著質感，內層刷毛保暖。</t>
        </is>
      </c>
    </row>
    <row r="738">
      <c r="A738" t="inlineStr"/>
      <c r="B738" t="inlineStr"/>
      <c r="C738" t="inlineStr">
        <is>
          <t>THERMAL</t>
        </is>
      </c>
      <c r="D738">
        <f>U738</f>
        <v/>
      </c>
      <c r="E738" t="n">
        <v>1106589</v>
      </c>
      <c r="F738" t="inlineStr">
        <is>
          <t>CLIMAPLUS KNIT HOODED JACKET MEN'S</t>
        </is>
      </c>
      <c r="G738" t="inlineStr">
        <is>
          <t>BK      BL      DBN      PAPRI</t>
        </is>
      </c>
      <c r="H738" t="inlineStr">
        <is>
          <t>BK      DBN</t>
        </is>
      </c>
      <c r="I738">
        <f>VLOOKUP(H738,[1]尺寸簡表!$C$3:$D$1263,2,0)</f>
        <v/>
      </c>
      <c r="J738" t="n">
        <v>3330</v>
      </c>
      <c r="K738" t="inlineStr">
        <is>
          <t>◎ 使用CLIMAPLUS®布料，具有彈性、快乾、透氣、保暖的特性。
◎ 外層針織表面增加穿著質感，內層刷毛保暖。</t>
        </is>
      </c>
    </row>
    <row r="739">
      <c r="A739" t="inlineStr"/>
      <c r="B739" t="inlineStr"/>
      <c r="C739" t="inlineStr">
        <is>
          <t>THERMAL</t>
        </is>
      </c>
      <c r="D739">
        <f>U739</f>
        <v/>
      </c>
      <c r="E739" t="n">
        <v>1106590</v>
      </c>
      <c r="F739" t="inlineStr">
        <is>
          <t>CLIMAPLUS KNIT HOODED JACKET WOMEN'S</t>
        </is>
      </c>
      <c r="G739" t="inlineStr">
        <is>
          <t>DKNV      IV      OG</t>
        </is>
      </c>
      <c r="H739" t="inlineStr">
        <is>
          <t>IV      OG</t>
        </is>
      </c>
      <c r="I739">
        <f>VLOOKUP(H739,[1]尺寸簡表!$C$3:$D$1263,2,0)</f>
        <v/>
      </c>
      <c r="J739" t="n">
        <v>3240</v>
      </c>
      <c r="K739" t="inlineStr">
        <is>
          <t>◎ 使用CLIMAPLUS®布料，具有彈性、快乾、透氣、保暖的特性。
◎ 外層針織表面增加穿著質感，內層刷毛保暖。</t>
        </is>
      </c>
    </row>
    <row r="740">
      <c r="A740" t="inlineStr"/>
      <c r="B740" t="inlineStr"/>
      <c r="C740" t="inlineStr">
        <is>
          <t>THERMAL</t>
        </is>
      </c>
      <c r="D740">
        <f>U740</f>
        <v/>
      </c>
      <c r="E740" t="n">
        <v>1106587</v>
      </c>
      <c r="F740" t="inlineStr">
        <is>
          <t>CLIMAPLUS KNIT JACKET MEN'S</t>
        </is>
      </c>
      <c r="G740" t="inlineStr">
        <is>
          <t>DBN      DKNV      FOST      HC/GM</t>
        </is>
      </c>
      <c r="H740" t="inlineStr">
        <is>
          <t>FOST</t>
        </is>
      </c>
      <c r="I740">
        <f>VLOOKUP(H740,[1]尺寸簡表!$C$3:$D$1263,2,0)</f>
        <v/>
      </c>
      <c r="J740" t="n">
        <v>3680</v>
      </c>
      <c r="K740" t="inlineStr">
        <is>
          <t>◎ 使用CLIMAPLUS®布料，具有彈性、快乾、透氣、保暖的特性。
◎ 外層針織表面增加穿著質感，內層刷毛保暖。</t>
        </is>
      </c>
    </row>
    <row r="741">
      <c r="A741" t="inlineStr"/>
      <c r="B741" t="inlineStr"/>
      <c r="C741" t="inlineStr">
        <is>
          <t>THERMAL</t>
        </is>
      </c>
      <c r="D741">
        <f>U741</f>
        <v/>
      </c>
      <c r="E741" t="n">
        <v>1106588</v>
      </c>
      <c r="F741" t="inlineStr">
        <is>
          <t>CLIMAPLUS KNIT JACKET WOMEN'S</t>
        </is>
      </c>
      <c r="G741" t="inlineStr">
        <is>
          <t>DKNV      IV      OG</t>
        </is>
      </c>
      <c r="I741">
        <f>VLOOKUP(H741,[1]尺寸簡表!$C$3:$D$1263,2,0)</f>
        <v/>
      </c>
      <c r="J741" t="n">
        <v>3500</v>
      </c>
      <c r="K741" t="inlineStr">
        <is>
          <t>◎ 使用CLIMAPLUS®布料，具有彈性、快乾、透氣、保暖的特性。
◎ 外層針織表面增加穿著質感，內層刷毛保暖。</t>
        </is>
      </c>
    </row>
    <row r="742">
      <c r="A742" t="inlineStr"/>
      <c r="B742" t="inlineStr"/>
      <c r="C742" t="inlineStr">
        <is>
          <t>THERMAL</t>
        </is>
      </c>
      <c r="D742">
        <f>U742</f>
        <v/>
      </c>
      <c r="E742" t="n">
        <v>1106750</v>
      </c>
      <c r="F742" t="inlineStr">
        <is>
          <t>CLIMAPLUS SHEARLING CARDIGAN WOMEN'S</t>
        </is>
      </c>
      <c r="G742" t="inlineStr">
        <is>
          <t>BK      IV      KH</t>
        </is>
      </c>
      <c r="H742" t="inlineStr">
        <is>
          <t>BK</t>
        </is>
      </c>
      <c r="I742">
        <f>VLOOKUP(H742,[1]尺寸簡表!$C$3:$D$1263,2,0)</f>
        <v/>
      </c>
      <c r="J742" t="n">
        <v>3680</v>
      </c>
      <c r="K742" t="inlineStr">
        <is>
          <t>◎ 表布：CLIMAPLUS®100（聚酯纖維100%）、內裡：40D尼龍。
◎ 保暖的羊羔毛絨外套。</t>
        </is>
      </c>
    </row>
    <row r="743">
      <c r="A743" t="inlineStr"/>
      <c r="B743" t="inlineStr"/>
      <c r="C743" t="inlineStr">
        <is>
          <t>THERMAL</t>
        </is>
      </c>
      <c r="D743">
        <f>U743</f>
        <v/>
      </c>
      <c r="E743" t="n">
        <v>1106746</v>
      </c>
      <c r="F743" t="inlineStr">
        <is>
          <t>CLIMAPLUS SHEARLING JACKET MEN'S</t>
        </is>
      </c>
      <c r="G743" t="inlineStr">
        <is>
          <t>DBN      IV      NV</t>
        </is>
      </c>
      <c r="H743" t="inlineStr">
        <is>
          <t>DBN</t>
        </is>
      </c>
      <c r="I743">
        <f>VLOOKUP(H743,[1]尺寸簡表!$C$3:$D$1263,2,0)</f>
        <v/>
      </c>
      <c r="J743" t="n">
        <v>4200</v>
      </c>
      <c r="K743" t="inlineStr">
        <is>
          <t>◎ 表布：CLIMAPLUS®100（聚酯纖維100%）、內裡：40D尼龍。
◎ 保暖的羊羔毛絨外套。</t>
        </is>
      </c>
    </row>
    <row r="744">
      <c r="A744" t="inlineStr"/>
      <c r="B744" t="inlineStr"/>
      <c r="C744" t="inlineStr">
        <is>
          <t>THERMAL</t>
        </is>
      </c>
      <c r="D744">
        <f>U744</f>
        <v/>
      </c>
      <c r="E744" t="n">
        <v>1106747</v>
      </c>
      <c r="F744" t="inlineStr">
        <is>
          <t>CLIMAPLUS SHEARLING JACKET WOMEN'S</t>
        </is>
      </c>
      <c r="G744" t="inlineStr">
        <is>
          <t>BN      IV      KH</t>
        </is>
      </c>
      <c r="H744" t="inlineStr">
        <is>
          <t>BN</t>
        </is>
      </c>
      <c r="I744">
        <f>VLOOKUP(H744,[1]尺寸簡表!$C$3:$D$1263,2,0)</f>
        <v/>
      </c>
      <c r="J744" t="n">
        <v>4140</v>
      </c>
      <c r="K744" t="inlineStr">
        <is>
          <t>◎ 表布：CLIMAPLUS®100（聚酯纖維100%）、內裡：40D尼龍。
◎ 保暖的羊羔毛絨外套。</t>
        </is>
      </c>
    </row>
    <row r="745">
      <c r="A745" t="inlineStr"/>
      <c r="B745" t="inlineStr"/>
      <c r="C745" t="inlineStr">
        <is>
          <t>THERMAL</t>
        </is>
      </c>
      <c r="D745">
        <f>U745</f>
        <v/>
      </c>
      <c r="E745" t="n">
        <v>1106748</v>
      </c>
      <c r="F745" t="inlineStr">
        <is>
          <t>CLIMAPLUS SHEARLING VEST MEN'S</t>
        </is>
      </c>
      <c r="G745" t="inlineStr">
        <is>
          <t>IV      NV</t>
        </is>
      </c>
      <c r="H745" t="inlineStr">
        <is>
          <t>IV      NV</t>
        </is>
      </c>
      <c r="I745">
        <f>VLOOKUP(H745,[1]尺寸簡表!$C$3:$D$1263,2,0)</f>
        <v/>
      </c>
      <c r="J745" t="n">
        <v>3500</v>
      </c>
      <c r="K745" t="inlineStr">
        <is>
          <t>◎ 表布：CLIMAPLUS®100（聚酯纖維100%）、內裡：40D尼龍。
◎ 保暖的羊羔毛絨背心。</t>
        </is>
      </c>
    </row>
    <row r="746">
      <c r="A746" t="inlineStr"/>
      <c r="B746" t="inlineStr"/>
      <c r="C746" t="inlineStr">
        <is>
          <t>THERMAL</t>
        </is>
      </c>
      <c r="D746">
        <f>U746</f>
        <v/>
      </c>
      <c r="E746" t="n">
        <v>1106749</v>
      </c>
      <c r="F746" t="inlineStr">
        <is>
          <t>CLIMAPLUS SHEARLING VEST WOMEN'S</t>
        </is>
      </c>
      <c r="G746" t="inlineStr">
        <is>
          <t>IV      KH</t>
        </is>
      </c>
      <c r="H746" t="inlineStr">
        <is>
          <t>KH      IV</t>
        </is>
      </c>
      <c r="I746">
        <f>VLOOKUP(H746,[1]尺寸簡表!$C$3:$D$1263,2,0)</f>
        <v/>
      </c>
      <c r="J746" t="n">
        <v>2900</v>
      </c>
      <c r="K746" t="inlineStr">
        <is>
          <t>◎ 表布：CLIMAPLUS®100（聚酯纖維100%）、內裡：40D尼龍。
◎ 保暖的羊羔毛絨背心。</t>
        </is>
      </c>
    </row>
    <row r="747">
      <c r="A747" t="inlineStr"/>
      <c r="B747" t="inlineStr"/>
      <c r="C747" t="inlineStr">
        <is>
          <t>THERMAL</t>
        </is>
      </c>
      <c r="D747">
        <f>U747</f>
        <v/>
      </c>
      <c r="E747" t="n">
        <v>1106797</v>
      </c>
      <c r="F747" t="inlineStr">
        <is>
          <t>CLIMATWEED JACKET MEN'S</t>
        </is>
      </c>
      <c r="G747" t="inlineStr">
        <is>
          <t>DGN      GY      RD</t>
        </is>
      </c>
      <c r="H747" t="inlineStr">
        <is>
          <t>DGN</t>
        </is>
      </c>
      <c r="I747">
        <f>VLOOKUP(H747,[1]尺寸簡表!$C$3:$D$1263,2,0)</f>
        <v/>
      </c>
      <c r="J747" t="n">
        <v>3360</v>
      </c>
      <c r="K747" t="inlineStr">
        <is>
          <t>◎ 材質：CLIMATWEED™（聚酯纖維），高質感厚手緹花毛呢布料，觸感柔軟，保暖休閒著用。</t>
        </is>
      </c>
    </row>
    <row r="748">
      <c r="A748" t="inlineStr"/>
      <c r="B748" t="inlineStr"/>
      <c r="C748" t="inlineStr">
        <is>
          <t>THERMAL</t>
        </is>
      </c>
      <c r="D748">
        <f>U748</f>
        <v/>
      </c>
      <c r="E748" t="n">
        <v>1106798</v>
      </c>
      <c r="F748" t="inlineStr">
        <is>
          <t>CLIMATWEED JACKET WOMEN'S</t>
        </is>
      </c>
      <c r="G748" t="inlineStr">
        <is>
          <t>BGN      IV      PU</t>
        </is>
      </c>
      <c r="H748" t="inlineStr">
        <is>
          <t>PU</t>
        </is>
      </c>
      <c r="I748">
        <f>VLOOKUP(H748,[1]尺寸簡表!$C$3:$D$1263,2,0)</f>
        <v/>
      </c>
      <c r="J748" t="n">
        <v>3150</v>
      </c>
      <c r="K748" t="inlineStr">
        <is>
          <t>◎ 材質：CLIMATWEED™（聚酯纖維），高質感厚手緹花毛呢布料，觸感柔軟，保暖休閒著用。</t>
        </is>
      </c>
    </row>
    <row r="749">
      <c r="A749" t="inlineStr"/>
      <c r="B749" t="inlineStr"/>
      <c r="C749" t="inlineStr">
        <is>
          <t>THERMAL</t>
        </is>
      </c>
      <c r="D749">
        <f>U749</f>
        <v/>
      </c>
      <c r="E749" t="n">
        <v>1106799</v>
      </c>
      <c r="F749" t="inlineStr">
        <is>
          <t>CLIMATWEED SHIRT MEN'S</t>
        </is>
      </c>
      <c r="G749" t="inlineStr">
        <is>
          <t>DGN      GY      RD</t>
        </is>
      </c>
      <c r="H749" t="inlineStr">
        <is>
          <t>GY</t>
        </is>
      </c>
      <c r="I749">
        <f>VLOOKUP(H749,[1]尺寸簡表!$C$3:$D$1263,2,0)</f>
        <v/>
      </c>
      <c r="J749" t="n">
        <v>3540</v>
      </c>
      <c r="K749" t="inlineStr">
        <is>
          <t>◎ 材質：CLIMATWEED™（聚酯纖維），高質感厚手緹花毛呢布料，觸感柔軟，保暖休閒著用。</t>
        </is>
      </c>
    </row>
    <row r="750">
      <c r="A750" t="inlineStr"/>
      <c r="B750" t="inlineStr"/>
      <c r="C750" t="inlineStr">
        <is>
          <t>THERMAL</t>
        </is>
      </c>
      <c r="D750">
        <f>U750</f>
        <v/>
      </c>
      <c r="E750" t="n">
        <v>1106800</v>
      </c>
      <c r="F750" t="inlineStr">
        <is>
          <t>CLIMATWEED SHIRT WOMEN'S</t>
        </is>
      </c>
      <c r="G750" t="inlineStr">
        <is>
          <t>BGN      IV      PU</t>
        </is>
      </c>
      <c r="H750" t="inlineStr">
        <is>
          <t>IV</t>
        </is>
      </c>
      <c r="I750">
        <f>VLOOKUP(H750,[1]尺寸簡表!$C$3:$D$1263,2,0)</f>
        <v/>
      </c>
      <c r="J750" t="n">
        <v>3360</v>
      </c>
      <c r="K750" t="inlineStr">
        <is>
          <t>◎ 材質：CLIMATWEED™（聚酯纖維），高質感厚手緹花毛呢布料，觸感柔軟，保暖休閒著用。</t>
        </is>
      </c>
    </row>
    <row r="751">
      <c r="A751" t="inlineStr"/>
      <c r="B751" t="inlineStr"/>
      <c r="C751" t="inlineStr">
        <is>
          <t>THERMAL</t>
        </is>
      </c>
      <c r="D751">
        <f>U751</f>
        <v/>
      </c>
      <c r="E751" t="n">
        <v>1106759</v>
      </c>
      <c r="F751" t="inlineStr">
        <is>
          <t>MITTELLEGI FULL-ZIP SWEATER MEN'S</t>
        </is>
      </c>
      <c r="G751" t="inlineStr">
        <is>
          <t>BK      DGN      NV</t>
        </is>
      </c>
      <c r="H751" t="inlineStr">
        <is>
          <t>DGN</t>
        </is>
      </c>
      <c r="I751">
        <f>VLOOKUP(H751,[1]尺寸簡表!$C$3:$D$1263,2,0)</f>
        <v/>
      </c>
      <c r="J751" t="n">
        <v>7400</v>
      </c>
      <c r="K751" t="inlineStr">
        <is>
          <t>◎ 材質：羊毛70%+壓克力40%。
◎ 高質感羊毛外套。</t>
        </is>
      </c>
    </row>
    <row r="752">
      <c r="A752" t="inlineStr"/>
      <c r="B752" t="inlineStr"/>
      <c r="C752" t="inlineStr">
        <is>
          <t>THERMAL</t>
        </is>
      </c>
      <c r="D752">
        <f>U752</f>
        <v/>
      </c>
      <c r="E752" t="n">
        <v>1106760</v>
      </c>
      <c r="F752" t="inlineStr">
        <is>
          <t>MITTELLEGI FULL-ZIP SWEATER WOMEN'S</t>
        </is>
      </c>
      <c r="G752" t="inlineStr">
        <is>
          <t>IV      NV</t>
        </is>
      </c>
      <c r="H752" t="inlineStr">
        <is>
          <t>IV</t>
        </is>
      </c>
      <c r="I752">
        <f>VLOOKUP(H752,[1]尺寸簡表!$C$3:$D$1263,2,0)</f>
        <v/>
      </c>
      <c r="J752" t="n">
        <v>6800</v>
      </c>
      <c r="K752" t="inlineStr">
        <is>
          <t>◎ 材質：羊毛70%+壓克力40%。
◎ 高質感羊毛外套。</t>
        </is>
      </c>
    </row>
    <row r="753">
      <c r="A753" t="inlineStr"/>
      <c r="B753" t="inlineStr"/>
      <c r="C753" t="inlineStr">
        <is>
          <t>THERMAL</t>
        </is>
      </c>
      <c r="D753">
        <f>U753</f>
        <v/>
      </c>
      <c r="E753" t="n">
        <v>1106761</v>
      </c>
      <c r="F753" t="inlineStr">
        <is>
          <t>MITTELLEGI HALF-ZIP SWEATER MEN'S</t>
        </is>
      </c>
      <c r="G753" t="inlineStr">
        <is>
          <t>DGY      OG</t>
        </is>
      </c>
      <c r="H753" t="inlineStr">
        <is>
          <t>DGY      OG</t>
        </is>
      </c>
      <c r="I753">
        <f>VLOOKUP(H753,[1]尺寸簡表!$C$3:$D$1263,2,0)</f>
        <v/>
      </c>
      <c r="J753" t="n">
        <v>6650</v>
      </c>
      <c r="K753" t="inlineStr">
        <is>
          <t>◎ 材質：羊毛70%+壓克力40%。
◎ 高質感羊毛半門襟上衣。</t>
        </is>
      </c>
    </row>
    <row r="754">
      <c r="A754" t="inlineStr"/>
      <c r="B754" t="inlineStr"/>
      <c r="C754" t="inlineStr">
        <is>
          <t>THERMAL</t>
        </is>
      </c>
      <c r="D754">
        <f>U754</f>
        <v/>
      </c>
      <c r="E754" t="n">
        <v>1106762</v>
      </c>
      <c r="F754" t="inlineStr">
        <is>
          <t>MITTELLEGI SWEATER MEN'S</t>
        </is>
      </c>
      <c r="G754" t="inlineStr">
        <is>
          <t>DGY      NV</t>
        </is>
      </c>
      <c r="H754" t="inlineStr">
        <is>
          <t>NV</t>
        </is>
      </c>
      <c r="I754">
        <f>VLOOKUP(H754,[1]尺寸簡表!$C$3:$D$1263,2,0)</f>
        <v/>
      </c>
      <c r="J754" t="n">
        <v>6300</v>
      </c>
      <c r="K754" t="inlineStr">
        <is>
          <t>◎ 材質：羊毛70%+壓克力40%。
◎ 高質感羊毛上衣。</t>
        </is>
      </c>
    </row>
    <row r="755">
      <c r="A755" t="inlineStr"/>
      <c r="B755" t="inlineStr"/>
      <c r="C755" t="inlineStr">
        <is>
          <t>THERMAL</t>
        </is>
      </c>
      <c r="D755">
        <f>U755</f>
        <v/>
      </c>
      <c r="E755" t="n">
        <v>1106763</v>
      </c>
      <c r="F755" t="inlineStr">
        <is>
          <t>MITTELLEGI SWEATER WOMEN'S</t>
        </is>
      </c>
      <c r="G755" t="inlineStr">
        <is>
          <t>IV      NV</t>
        </is>
      </c>
      <c r="H755" t="inlineStr">
        <is>
          <t>NV</t>
        </is>
      </c>
      <c r="I755">
        <f>VLOOKUP(H755,[1]尺寸簡表!$C$3:$D$1263,2,0)</f>
        <v/>
      </c>
      <c r="J755" t="n">
        <v>5950</v>
      </c>
      <c r="K755" t="inlineStr">
        <is>
          <t>◎ 材質：羊毛70%+壓克力40%。
◎ 高質感羊毛上衣。</t>
        </is>
      </c>
    </row>
    <row r="756">
      <c r="A756" t="inlineStr">
        <is>
          <t>26FW</t>
        </is>
      </c>
      <c r="B756" t="inlineStr">
        <is>
          <t>26FW</t>
        </is>
      </c>
      <c r="C756" t="inlineStr">
        <is>
          <t>THERMAL</t>
        </is>
      </c>
      <c r="D756">
        <f>U756</f>
        <v/>
      </c>
      <c r="E756" t="n">
        <v>1106832</v>
      </c>
      <c r="F756" t="inlineStr">
        <is>
          <t>THERMO-UP CARDIGAN MEN'S</t>
        </is>
      </c>
      <c r="G756" t="inlineStr">
        <is>
          <t>BK      NV</t>
        </is>
      </c>
      <c r="H756" t="inlineStr">
        <is>
          <t>BK</t>
        </is>
      </c>
      <c r="I756">
        <f>VLOOKUP(H756,[1]尺寸簡表!$C$3:$D$1263,2,0)</f>
        <v/>
      </c>
      <c r="J756" t="n">
        <v>2230</v>
      </c>
      <c r="K756" t="inlineStr">
        <is>
          <t>◎材質：CIMAPLUS®MESH（聚酯纖維），圓領輕量保暖外套。</t>
        </is>
      </c>
    </row>
    <row r="757">
      <c r="A757" t="inlineStr">
        <is>
          <t>26FW</t>
        </is>
      </c>
      <c r="B757" t="inlineStr">
        <is>
          <t>26FW</t>
        </is>
      </c>
      <c r="C757" t="inlineStr">
        <is>
          <t>THERMAL</t>
        </is>
      </c>
      <c r="D757">
        <f>U757</f>
        <v/>
      </c>
      <c r="E757" t="n">
        <v>1106833</v>
      </c>
      <c r="F757" t="inlineStr">
        <is>
          <t>THERMO-UP CARDIGAN WOMEN'S</t>
        </is>
      </c>
      <c r="G757" t="inlineStr">
        <is>
          <t>BK      PK      TQ</t>
        </is>
      </c>
      <c r="H757" t="inlineStr">
        <is>
          <t>PK</t>
        </is>
      </c>
      <c r="I757">
        <f>VLOOKUP(H757,[1]尺寸簡表!$C$3:$D$1263,2,0)</f>
        <v/>
      </c>
      <c r="J757" t="n">
        <v>2160</v>
      </c>
      <c r="K757" t="inlineStr">
        <is>
          <t>◎材質：CIMAPLUS®MESH（聚酯纖維），圓領輕量保暖外套。</t>
        </is>
      </c>
    </row>
    <row r="758">
      <c r="A758" t="inlineStr">
        <is>
          <t>促銷款</t>
        </is>
      </c>
      <c r="B758" t="inlineStr">
        <is>
          <t>活動款</t>
        </is>
      </c>
      <c r="C758" t="inlineStr">
        <is>
          <t>THERMAL</t>
        </is>
      </c>
      <c r="D758">
        <f>U758</f>
        <v/>
      </c>
      <c r="E758" t="n">
        <v>1106828</v>
      </c>
      <c r="F758" t="inlineStr">
        <is>
          <t>THERMO-UP LONG SLEEVE T-SHIRT MEN'S</t>
        </is>
      </c>
      <c r="G758" t="inlineStr">
        <is>
          <t>BK      GN      NV      OG</t>
        </is>
      </c>
      <c r="H758" t="inlineStr">
        <is>
          <t>OG</t>
        </is>
      </c>
      <c r="I758">
        <f>VLOOKUP(H758,[1]尺寸簡表!$C$3:$D$1263,2,0)</f>
        <v/>
      </c>
      <c r="J758" t="n">
        <v>1650</v>
      </c>
      <c r="K758" t="inlineStr">
        <is>
          <t>◎材質：CIMAPLUS®MESH（聚酯纖維），輕量保暖上衣。</t>
        </is>
      </c>
    </row>
    <row r="759">
      <c r="A759" t="inlineStr">
        <is>
          <t>促銷款</t>
        </is>
      </c>
      <c r="B759" t="inlineStr">
        <is>
          <t>活動款</t>
        </is>
      </c>
      <c r="C759" t="inlineStr">
        <is>
          <t>THERMAL</t>
        </is>
      </c>
      <c r="D759">
        <f>U759</f>
        <v/>
      </c>
      <c r="E759" t="n">
        <v>1106829</v>
      </c>
      <c r="F759" t="inlineStr">
        <is>
          <t>THERMO-UP LONG SLEEVE T-SHIRT WOMEN'S</t>
        </is>
      </c>
      <c r="G759" t="inlineStr">
        <is>
          <t>BK      PK      TQ</t>
        </is>
      </c>
      <c r="H759" t="inlineStr">
        <is>
          <t>TQ</t>
        </is>
      </c>
      <c r="I759">
        <f>VLOOKUP(H759,[1]尺寸簡表!$C$3:$D$1263,2,0)</f>
        <v/>
      </c>
      <c r="J759" t="n">
        <v>1590</v>
      </c>
      <c r="K759" t="inlineStr">
        <is>
          <t>◎材質：CIMAPLUS®MESH（聚酯纖維），輕量保暖上衣。</t>
        </is>
      </c>
    </row>
    <row r="760">
      <c r="A760" t="inlineStr">
        <is>
          <t>26FW</t>
        </is>
      </c>
      <c r="B760" t="inlineStr">
        <is>
          <t>26FW</t>
        </is>
      </c>
      <c r="C760" t="inlineStr">
        <is>
          <t>THERMAL</t>
        </is>
      </c>
      <c r="D760">
        <f>U760</f>
        <v/>
      </c>
      <c r="E760" t="n">
        <v>1106834</v>
      </c>
      <c r="F760" t="inlineStr">
        <is>
          <t>THERMO-UP TIGHTS MEN'S</t>
        </is>
      </c>
      <c r="G760" t="inlineStr">
        <is>
          <t>BK</t>
        </is>
      </c>
      <c r="H760" t="inlineStr">
        <is>
          <t>BK</t>
        </is>
      </c>
      <c r="I760">
        <f>VLOOKUP(H760,[1]尺寸簡表!$C$3:$D$1263,2,0)</f>
        <v/>
      </c>
      <c r="J760" t="n">
        <v>1810</v>
      </c>
      <c r="K760" t="inlineStr">
        <is>
          <t>◎材質：CIMAPLUS®MESH（聚酯纖維），輕量保暖褲。</t>
        </is>
      </c>
    </row>
    <row r="761">
      <c r="A761" t="inlineStr">
        <is>
          <t>26FW</t>
        </is>
      </c>
      <c r="B761" t="inlineStr">
        <is>
          <t>26FW</t>
        </is>
      </c>
      <c r="C761" t="inlineStr">
        <is>
          <t>THERMAL</t>
        </is>
      </c>
      <c r="D761">
        <f>U761</f>
        <v/>
      </c>
      <c r="E761" t="n">
        <v>1106835</v>
      </c>
      <c r="F761" t="inlineStr">
        <is>
          <t>THERMO-UP TIGHTS WOMEN'S</t>
        </is>
      </c>
      <c r="G761" t="inlineStr">
        <is>
          <t>BK</t>
        </is>
      </c>
      <c r="H761" t="inlineStr">
        <is>
          <t>BK</t>
        </is>
      </c>
      <c r="I761">
        <f>VLOOKUP(H761,[1]尺寸簡表!$C$3:$D$1263,2,0)</f>
        <v/>
      </c>
      <c r="J761" t="n">
        <v>1750</v>
      </c>
      <c r="K761" t="inlineStr">
        <is>
          <t>◎材質：CIMAPLUS®MESH（聚酯纖維），輕量保暖褲。</t>
        </is>
      </c>
    </row>
    <row r="762">
      <c r="A762" t="inlineStr">
        <is>
          <t>促銷款</t>
        </is>
      </c>
      <c r="B762" t="inlineStr">
        <is>
          <t>活動款</t>
        </is>
      </c>
      <c r="C762" t="inlineStr">
        <is>
          <t>THERMAL</t>
        </is>
      </c>
      <c r="D762">
        <f>U762</f>
        <v/>
      </c>
      <c r="E762" t="n">
        <v>1106830</v>
      </c>
      <c r="F762" t="inlineStr">
        <is>
          <t>THERMO-UP VEST MEN'S</t>
        </is>
      </c>
      <c r="G762" t="inlineStr">
        <is>
          <t>BK      NV</t>
        </is>
      </c>
      <c r="H762" t="inlineStr">
        <is>
          <t>NV</t>
        </is>
      </c>
      <c r="I762">
        <f>VLOOKUP(H762,[1]尺寸簡表!$C$3:$D$1263,2,0)</f>
        <v/>
      </c>
      <c r="J762" t="n">
        <v>1620</v>
      </c>
      <c r="K762" t="inlineStr">
        <is>
          <t>◎材質：CIMAPLUS®MESH（聚酯纖維），V領輕量保暖背心。</t>
        </is>
      </c>
    </row>
    <row r="763">
      <c r="A763" t="inlineStr">
        <is>
          <t>促銷款</t>
        </is>
      </c>
      <c r="B763" t="inlineStr">
        <is>
          <t>活動款</t>
        </is>
      </c>
      <c r="C763" t="inlineStr">
        <is>
          <t>THERMAL</t>
        </is>
      </c>
      <c r="D763">
        <f>U763</f>
        <v/>
      </c>
      <c r="E763" t="n">
        <v>1106831</v>
      </c>
      <c r="F763" t="inlineStr">
        <is>
          <t>THERMO-UP VEST WOMEN'S</t>
        </is>
      </c>
      <c r="G763" t="inlineStr">
        <is>
          <t>BK      PK      TQ</t>
        </is>
      </c>
      <c r="H763" t="inlineStr">
        <is>
          <t>PK</t>
        </is>
      </c>
      <c r="I763">
        <f>VLOOKUP(H763,[1]尺寸簡表!$C$3:$D$1263,2,0)</f>
        <v/>
      </c>
      <c r="J763" t="n">
        <v>1560</v>
      </c>
      <c r="K763" t="inlineStr">
        <is>
          <t>◎材質：CIMAPLUS®MESH（聚酯纖維），V領輕量保暖背心。</t>
        </is>
      </c>
    </row>
    <row r="764">
      <c r="A764" t="inlineStr">
        <is>
          <t>促銷款</t>
        </is>
      </c>
      <c r="B764" t="inlineStr">
        <is>
          <t>活動款</t>
        </is>
      </c>
      <c r="C764" t="inlineStr">
        <is>
          <t>THERMAL</t>
        </is>
      </c>
      <c r="D764">
        <f>U764</f>
        <v/>
      </c>
      <c r="E764" t="n">
        <v>1106733</v>
      </c>
      <c r="F764" t="inlineStr">
        <is>
          <t>TRAIL ACTION HOODED JACKET MEN'S</t>
        </is>
      </c>
      <c r="G764" t="inlineStr">
        <is>
          <t>BK      GN      NV      OG</t>
        </is>
      </c>
      <c r="H764" t="inlineStr">
        <is>
          <t>NV</t>
        </is>
      </c>
      <c r="I764">
        <f>VLOOKUP(H764,[1]尺寸簡表!$C$3:$D$1263,2,0)</f>
        <v/>
      </c>
      <c r="J764" t="n">
        <v>3000</v>
      </c>
      <c r="K764" t="inlineStr">
        <is>
          <t>◎ 使用STRETCH CLIMAPLUS®布料（中厚手，尼龍47%+聚酯纖維36%+聚氨酯17%）：具有雙向彈性、快乾、透氣、保暖的特性。
◎ 輕薄、內刷毛，最適合在寒冷環境中高活動量運動時使用。</t>
        </is>
      </c>
    </row>
    <row r="765">
      <c r="A765" t="inlineStr">
        <is>
          <t>促銷款</t>
        </is>
      </c>
      <c r="B765" t="inlineStr">
        <is>
          <t>活動款</t>
        </is>
      </c>
      <c r="C765" t="inlineStr">
        <is>
          <t>THERMAL</t>
        </is>
      </c>
      <c r="D765">
        <f>U765</f>
        <v/>
      </c>
      <c r="E765" t="n">
        <v>1106734</v>
      </c>
      <c r="F765" t="inlineStr">
        <is>
          <t>TRAIL ACTION HOODED JACKET WOMEN'S</t>
        </is>
      </c>
      <c r="G765" t="inlineStr">
        <is>
          <t>LGY      NV      PU      RD</t>
        </is>
      </c>
      <c r="H765" t="inlineStr">
        <is>
          <t>NV      LGY</t>
        </is>
      </c>
      <c r="I765">
        <f>VLOOKUP(H765,[1]尺寸簡表!$C$3:$D$1263,2,0)</f>
        <v/>
      </c>
      <c r="J765" t="n">
        <v>2800</v>
      </c>
      <c r="K765" t="inlineStr">
        <is>
          <t>◎ 使用STRETCH CLIMAPLUS®布料（中厚手，尼龍47%+聚酯纖維36%+聚氨酯17%）：具有雙向彈性、快乾、透氣、保暖的特性。
◎ 輕薄、內刷毛，最適合在寒冷環境中高活動量運動時使用。</t>
        </is>
      </c>
    </row>
    <row r="766">
      <c r="A766" t="inlineStr"/>
      <c r="B766" t="inlineStr"/>
      <c r="C766" t="inlineStr">
        <is>
          <t>THERMAL</t>
        </is>
      </c>
      <c r="D766">
        <f>U766</f>
        <v/>
      </c>
      <c r="E766" t="n">
        <v>1105540</v>
      </c>
      <c r="F766" t="inlineStr">
        <is>
          <t>TRAIL ACTION TIGHTS MEN'S</t>
        </is>
      </c>
      <c r="G766" t="inlineStr">
        <is>
          <t>BK      DKNV</t>
        </is>
      </c>
      <c r="H766" t="inlineStr">
        <is>
          <t>DKNV</t>
        </is>
      </c>
      <c r="I766">
        <f>VLOOKUP(H766,[1]尺寸簡表!$C$3:$D$1263,2,0)</f>
        <v/>
      </c>
      <c r="J766" t="n">
        <v>2260</v>
      </c>
      <c r="K766" t="inlineStr">
        <is>
          <t>◎ 使用STRETCH CLIMAPLUS®布料（中厚手，尼龍47%+聚酯纖維36%+聚氨酯17%）：具有雙向彈性、快乾、透氣、保暖的特性。
◎ 輕薄、內刷毛，最適合在寒冷環境中高活動量運動時使用。</t>
        </is>
      </c>
    </row>
    <row r="767">
      <c r="A767" t="inlineStr"/>
      <c r="B767" t="inlineStr"/>
      <c r="C767" t="inlineStr">
        <is>
          <t>THERMAL</t>
        </is>
      </c>
      <c r="D767">
        <f>U767</f>
        <v/>
      </c>
      <c r="E767" t="n">
        <v>1105541</v>
      </c>
      <c r="F767" t="inlineStr">
        <is>
          <t>TRAIL ACTION TIGHTS WOMEN'S</t>
        </is>
      </c>
      <c r="G767" t="inlineStr">
        <is>
          <t>BK      DKNV</t>
        </is>
      </c>
      <c r="I767">
        <f>VLOOKUP(H767,[1]尺寸簡表!$C$3:$D$1263,2,0)</f>
        <v/>
      </c>
      <c r="J767" t="n">
        <v>2180</v>
      </c>
      <c r="K767" t="inlineStr">
        <is>
          <t>◎ 使用STRETCH CLIMAPLUS®布料（中厚手，尼龍47%+聚酯纖維36%+聚氨酯17%）：具有雙向彈性、快乾、透氣、保暖的特性。
◎ 輕薄、內刷毛，最適合在寒冷環境中高活動量運動時使用。</t>
        </is>
      </c>
    </row>
    <row r="768">
      <c r="A768" t="inlineStr"/>
      <c r="B768" t="inlineStr"/>
      <c r="C768" t="inlineStr">
        <is>
          <t>TRAVEL &amp; COUNTRY</t>
        </is>
      </c>
      <c r="D768">
        <f>U768</f>
        <v/>
      </c>
      <c r="E768" t="n">
        <v>1101695</v>
      </c>
      <c r="F768" t="inlineStr">
        <is>
          <t>ASPEN DOWN COAT WOMEN'S</t>
        </is>
      </c>
      <c r="G768" t="inlineStr">
        <is>
          <t>BK      LGY</t>
        </is>
      </c>
      <c r="H768" t="inlineStr">
        <is>
          <t>LGY</t>
        </is>
      </c>
      <c r="I768">
        <f>VLOOKUP(H768,[1]尺寸簡表!$C$3:$D$1263,2,0)</f>
        <v/>
      </c>
      <c r="J768" t="n">
        <v>11880</v>
      </c>
      <c r="K768" t="inlineStr">
        <is>
          <t>◎ 表布：30D抗撕裂尼龍（撥水加工）、內裡：20D尼龍（抗靜電加工）、(SUPER) DRYTEC 3L（耐水壓20,000mm，透氣度40,000g/㎡）。填充800FP高品質鵝絨（中厚手） ，重量：536g。 三層構造可防寒風入侵。長度到膝蓋上緣。</t>
        </is>
      </c>
    </row>
    <row r="769">
      <c r="A769" t="inlineStr"/>
      <c r="B769" t="inlineStr"/>
      <c r="C769" t="inlineStr">
        <is>
          <t>TRAVEL &amp; COUNTRY</t>
        </is>
      </c>
      <c r="D769">
        <f>U769</f>
        <v/>
      </c>
      <c r="E769" t="n">
        <v>1101694</v>
      </c>
      <c r="F769" t="inlineStr">
        <is>
          <t>ASPEN DOWN HALF-LENGTH COAT MEN'S</t>
        </is>
      </c>
      <c r="G769" t="inlineStr">
        <is>
          <t>BK      KH</t>
        </is>
      </c>
      <c r="H769" t="inlineStr">
        <is>
          <t>KH</t>
        </is>
      </c>
      <c r="I769">
        <f>VLOOKUP(H769,[1]尺寸簡表!$C$3:$D$1263,2,0)</f>
        <v/>
      </c>
      <c r="J769" t="n">
        <v>13680</v>
      </c>
      <c r="K769" t="inlineStr">
        <is>
          <t>◎ 表布：30D抗撕裂尼龍（撥水加工）、內裡：20D尼龍（抗靜電加工）、(SUPER) DRYTEC 3L（耐水壓20,000mm，透氣度40,000g/㎡）、填充800FP高品質鵝絨（中厚手），重量：597g。
◎ 三枚差結構，高度防風。</t>
        </is>
      </c>
    </row>
    <row r="770">
      <c r="A770" t="inlineStr"/>
      <c r="B770" t="inlineStr"/>
      <c r="C770" t="inlineStr">
        <is>
          <t>TRAVEL &amp; COUNTRY</t>
        </is>
      </c>
      <c r="D770">
        <f>U770</f>
        <v/>
      </c>
      <c r="E770" t="n">
        <v>1101615</v>
      </c>
      <c r="F770" t="inlineStr">
        <is>
          <t>BERNINA DOWN COAT MEN'S</t>
        </is>
      </c>
      <c r="G770" t="inlineStr">
        <is>
          <t>BK      LTN</t>
        </is>
      </c>
      <c r="H770" t="inlineStr">
        <is>
          <t>BK</t>
        </is>
      </c>
      <c r="I770">
        <f>VLOOKUP(H770,[1]尺寸簡表!$C$3:$D$1263,2,0)</f>
        <v/>
      </c>
      <c r="J770" t="n">
        <v>11520</v>
      </c>
      <c r="K770" t="inlineStr">
        <is>
          <t>◎ 表布：DRYTEC®2L（耐水壓20,000mm，透氣度8,000g/㎡）、內裡：20D Ballistic®抗撕裂尼龍（抗靜電加工）、填充：800FP高品質鵝絨，重量：808g。
◎ 三枚差結構，高度防風。</t>
        </is>
      </c>
    </row>
    <row r="771">
      <c r="A771" t="inlineStr"/>
      <c r="B771" t="inlineStr"/>
      <c r="C771" t="inlineStr">
        <is>
          <t>TRAVEL &amp; COUNTRY</t>
        </is>
      </c>
      <c r="D771">
        <f>U771</f>
        <v/>
      </c>
      <c r="E771" t="n">
        <v>1101568</v>
      </c>
      <c r="F771" t="inlineStr">
        <is>
          <t>BERNINA DOWN COAT WOMEN'S</t>
        </is>
      </c>
      <c r="G771" t="inlineStr">
        <is>
          <t>BK      MR</t>
        </is>
      </c>
      <c r="H771" t="inlineStr">
        <is>
          <t>BK</t>
        </is>
      </c>
      <c r="I771">
        <f>VLOOKUP(H771,[1]尺寸簡表!$C$3:$D$1263,2,0)</f>
        <v/>
      </c>
      <c r="J771" t="n">
        <v>10800</v>
      </c>
      <c r="K771" t="inlineStr">
        <is>
          <t>◎ 表布：DRYTEC®2L（耐水壓20,000mm，透氣度8,000g/㎡）、內裡：20D Ballistic®抗撕裂尼龍（抗靜電加工）、填充：800FP高品質鵝絨，重量：706g。
◎ 三枚差結構，高度防風。</t>
        </is>
      </c>
    </row>
    <row r="772">
      <c r="A772" t="inlineStr"/>
      <c r="B772" t="inlineStr"/>
      <c r="C772" t="inlineStr">
        <is>
          <t>TRAVEL &amp; COUNTRY</t>
        </is>
      </c>
      <c r="D772">
        <f>U772</f>
        <v/>
      </c>
      <c r="E772" t="n">
        <v>1102325</v>
      </c>
      <c r="F772" t="inlineStr">
        <is>
          <t>CLIMAPLUS 100 WITH SHELL JACKET</t>
        </is>
      </c>
      <c r="G772" t="inlineStr">
        <is>
          <t>BK24      DKNV      KH      LGY</t>
        </is>
      </c>
      <c r="H772" t="inlineStr">
        <is>
          <t>DKNV</t>
        </is>
      </c>
      <c r="I772">
        <f>VLOOKUP(H772,[1]尺寸簡表!$C$3:$D$1263,2,0)</f>
        <v/>
      </c>
      <c r="J772" t="n">
        <v>4200</v>
      </c>
      <c r="K772" t="inlineStr">
        <is>
          <t>◎ 表布：70D 尼龍(撥水加工)、內裡：CLIMAPLUS®100，防風刷毛外套。</t>
        </is>
      </c>
    </row>
    <row r="773">
      <c r="A773" t="inlineStr">
        <is>
          <t>26FW</t>
        </is>
      </c>
      <c r="B773" t="inlineStr">
        <is>
          <t>26FW</t>
        </is>
      </c>
      <c r="C773" t="inlineStr">
        <is>
          <t>TRAVEL &amp; COUNTRY</t>
        </is>
      </c>
      <c r="D773">
        <f>U773</f>
        <v/>
      </c>
      <c r="E773" t="n">
        <v>1101739</v>
      </c>
      <c r="F773" t="inlineStr">
        <is>
          <t>COLORADO COAT MEN'S</t>
        </is>
      </c>
      <c r="G773" t="inlineStr">
        <is>
          <t>BK      TN</t>
        </is>
      </c>
      <c r="H773" t="inlineStr">
        <is>
          <t>TN</t>
        </is>
      </c>
      <c r="I773">
        <f>VLOOKUP(H773,[1]尺寸簡表!$C$3:$D$1263,2,0)</f>
        <v/>
      </c>
      <c r="J773" t="n">
        <v>8370</v>
      </c>
      <c r="K773" t="inlineStr">
        <is>
          <t>◎ 表布：70D 尼龍(撥水加工)、內裡：20D Ballistic®抗撕裂尼龍（抗靜電加工）、填充：800FP高品質羽絨。
◎ 三枚差結構，高度防風。可正反面穿著，享受一衣二穿的樂趣。</t>
        </is>
      </c>
    </row>
    <row r="774">
      <c r="A774" t="inlineStr">
        <is>
          <t>26FW</t>
        </is>
      </c>
      <c r="B774" t="inlineStr">
        <is>
          <t>26FW</t>
        </is>
      </c>
      <c r="C774" t="inlineStr">
        <is>
          <t>TRAVEL &amp; COUNTRY</t>
        </is>
      </c>
      <c r="D774">
        <f>U774</f>
        <v/>
      </c>
      <c r="E774" t="n">
        <v>1101735</v>
      </c>
      <c r="F774" t="inlineStr">
        <is>
          <t>COLORADO PARKA MEN'S</t>
        </is>
      </c>
      <c r="G774" t="inlineStr">
        <is>
          <t>BK      DGN1      IV      KH      WRD</t>
        </is>
      </c>
      <c r="H774" t="inlineStr">
        <is>
          <t>DGN1</t>
        </is>
      </c>
      <c r="I774">
        <f>VLOOKUP(H774,[1]尺寸簡表!$C$3:$D$1263,2,0)</f>
        <v/>
      </c>
      <c r="J774" t="n">
        <v>7160</v>
      </c>
      <c r="K774" t="inlineStr">
        <is>
          <t>◎ 一面40D尼龍（撥水加工/抗靜電加工）、另一面20D Ballistic®抗撕裂尼龍（抗靜電加工）、填充：800FP高品質羽絨。
◎ 三枚差結構，高度防風。可正反面穿著，享受一衣二穿的樂趣。</t>
        </is>
      </c>
    </row>
    <row r="775">
      <c r="A775" t="inlineStr">
        <is>
          <t>26FW</t>
        </is>
      </c>
      <c r="B775" t="inlineStr">
        <is>
          <t>26FW</t>
        </is>
      </c>
      <c r="C775" t="inlineStr">
        <is>
          <t>TRAVEL &amp; COUNTRY</t>
        </is>
      </c>
      <c r="D775">
        <f>U775</f>
        <v/>
      </c>
      <c r="E775" t="n">
        <v>1101736</v>
      </c>
      <c r="F775" t="inlineStr">
        <is>
          <t>COLORADO PARKA WOMEN'S</t>
        </is>
      </c>
      <c r="G775" t="inlineStr">
        <is>
          <t>DGY      NV      TN</t>
        </is>
      </c>
      <c r="H775" t="inlineStr">
        <is>
          <t>TN</t>
        </is>
      </c>
      <c r="I775">
        <f>VLOOKUP(H775,[1]尺寸簡表!$C$3:$D$1263,2,0)</f>
        <v/>
      </c>
      <c r="J775" t="n">
        <v>6680</v>
      </c>
      <c r="K775" t="inlineStr">
        <is>
          <t>◎ 一面40D尼龍（撥水加工/抗靜電加工）、另一面20D Ballistic®抗撕裂尼龍（抗靜電加工）、填充：800FP高品質羽絨。
◎ 三枚差結構，高度防風。可正反面穿著，享受一衣二穿的樂趣。</t>
        </is>
      </c>
    </row>
    <row r="776">
      <c r="A776" t="inlineStr">
        <is>
          <t>26FW</t>
        </is>
      </c>
      <c r="B776" t="inlineStr">
        <is>
          <t>26FW</t>
        </is>
      </c>
      <c r="C776" t="inlineStr">
        <is>
          <t>TRAVEL &amp; COUNTRY</t>
        </is>
      </c>
      <c r="D776">
        <f>U776</f>
        <v/>
      </c>
      <c r="E776" t="n">
        <v>1101737</v>
      </c>
      <c r="F776" t="inlineStr">
        <is>
          <t>COLORADO VEST MEN'S</t>
        </is>
      </c>
      <c r="G776" t="inlineStr">
        <is>
          <t>BK      DGN</t>
        </is>
      </c>
      <c r="H776" t="inlineStr">
        <is>
          <t>BK</t>
        </is>
      </c>
      <c r="I776">
        <f>VLOOKUP(H776,[1]尺寸簡表!$C$3:$D$1263,2,0)</f>
        <v/>
      </c>
      <c r="J776" t="n">
        <v>5850</v>
      </c>
      <c r="K776" t="inlineStr">
        <is>
          <t>◎ 一面40D尼龍（撥水加工/抗靜電加工）、另一面20D Ballistic®抗撕裂尼龍（抗靜電加工）、填充：800FP高品質羽絨。
◎ 三枚差結構，高度防風。可正反面穿著，享受一衣二穿的樂趣。</t>
        </is>
      </c>
    </row>
    <row r="777">
      <c r="A777" t="inlineStr">
        <is>
          <t>26FW</t>
        </is>
      </c>
      <c r="B777" t="inlineStr">
        <is>
          <t>26FW</t>
        </is>
      </c>
      <c r="C777" t="inlineStr">
        <is>
          <t>TRAVEL &amp; COUNTRY</t>
        </is>
      </c>
      <c r="D777">
        <f>U777</f>
        <v/>
      </c>
      <c r="E777" t="n">
        <v>1101738</v>
      </c>
      <c r="F777" t="inlineStr">
        <is>
          <t>COLORADO VEST WOMEN'S</t>
        </is>
      </c>
      <c r="G777" t="inlineStr">
        <is>
          <t>NV      TN</t>
        </is>
      </c>
      <c r="H777" t="inlineStr">
        <is>
          <t>NV</t>
        </is>
      </c>
      <c r="I777">
        <f>VLOOKUP(H777,[1]尺寸簡表!$C$3:$D$1263,2,0)</f>
        <v/>
      </c>
      <c r="J777" t="n">
        <v>5410</v>
      </c>
      <c r="K777" t="inlineStr">
        <is>
          <t>◎ 一面40D尼龍（撥水加工/抗靜電加工）、另一面20D Ballistic®抗撕裂尼龍（抗靜電加工）、填充：800FP高品質羽絨。
◎ 三枚差結構，高度防風。可正反面穿著，享受一衣二穿的樂趣。</t>
        </is>
      </c>
    </row>
    <row r="778">
      <c r="A778" t="inlineStr"/>
      <c r="B778" t="inlineStr"/>
      <c r="C778" t="inlineStr">
        <is>
          <t>TRAVEL &amp; COUNTRY</t>
        </is>
      </c>
      <c r="D778">
        <f>U778</f>
        <v/>
      </c>
      <c r="E778" t="n">
        <v>1103304</v>
      </c>
      <c r="F778" t="inlineStr">
        <is>
          <t>COMPACT TRAVEL COAT</t>
        </is>
      </c>
      <c r="G778" t="inlineStr">
        <is>
          <t>BK      DKNV</t>
        </is>
      </c>
      <c r="H778" t="inlineStr">
        <is>
          <t>BK</t>
        </is>
      </c>
      <c r="I778">
        <f>VLOOKUP(H778,[1]尺寸簡表!$C$3:$D$1263,2,0)</f>
        <v/>
      </c>
      <c r="J778" t="n">
        <v>4000</v>
      </c>
      <c r="K778" t="inlineStr">
        <is>
          <t>◎ 70D消光尼龍（撥水加工），可收納在口袋中。</t>
        </is>
      </c>
    </row>
    <row r="779">
      <c r="A779" t="inlineStr">
        <is>
          <t>26FW</t>
        </is>
      </c>
      <c r="B779" t="inlineStr">
        <is>
          <t>26FW</t>
        </is>
      </c>
      <c r="C779" t="inlineStr">
        <is>
          <t>TRAVEL &amp; COUNTRY</t>
        </is>
      </c>
      <c r="D779">
        <f>U779</f>
        <v/>
      </c>
      <c r="E779" t="n">
        <v>1101741</v>
      </c>
      <c r="F779" t="inlineStr">
        <is>
          <t>CORTINA DOWN COAT WOMEN'S</t>
        </is>
      </c>
      <c r="G779" t="inlineStr">
        <is>
          <t>BK      TN</t>
        </is>
      </c>
      <c r="H779" t="inlineStr">
        <is>
          <t>TN</t>
        </is>
      </c>
      <c r="I779">
        <f>VLOOKUP(H779,[1]尺寸簡表!$C$3:$D$1263,2,0)</f>
        <v/>
      </c>
      <c r="J779" t="n">
        <v>9980</v>
      </c>
      <c r="K779" t="inlineStr">
        <is>
          <t>◎ 重量：490g。表布：30D 尼龍（撥水加工），(SUPER) DRYTEC 3L、內裡：20D Ballistic®抗撕裂尼龍布(抗靜電加工)、填充：800FP高品質鵝絨。</t>
        </is>
      </c>
    </row>
    <row r="780">
      <c r="A780" t="inlineStr">
        <is>
          <t>26FW</t>
        </is>
      </c>
      <c r="B780" t="inlineStr">
        <is>
          <t>26FW</t>
        </is>
      </c>
      <c r="C780" t="inlineStr">
        <is>
          <t>TRAVEL &amp; COUNTRY</t>
        </is>
      </c>
      <c r="D780">
        <f>U780</f>
        <v/>
      </c>
      <c r="E780" t="n">
        <v>1101740</v>
      </c>
      <c r="F780" t="inlineStr">
        <is>
          <t>CORTINA DOWN HALF-LENGTH COAT WOMEN'S</t>
        </is>
      </c>
      <c r="G780" t="inlineStr">
        <is>
          <t>BK      BN</t>
        </is>
      </c>
      <c r="H780" t="inlineStr">
        <is>
          <t>BN</t>
        </is>
      </c>
      <c r="I780">
        <f>VLOOKUP(H780,[1]尺寸簡表!$C$3:$D$1263,2,0)</f>
        <v/>
      </c>
      <c r="J780" t="n">
        <v>9550</v>
      </c>
      <c r="K780" t="inlineStr">
        <is>
          <t>◎ 重量：465g。表布：30D 尼龍（撥水加工），(SUPER) DRYTEC 3L、內裡：20D Ballistic®抗撕裂尼龍布(抗靜電加工)、填充：800FP高品質鵝絨。</t>
        </is>
      </c>
    </row>
    <row r="781">
      <c r="A781" t="inlineStr">
        <is>
          <t>26FW</t>
        </is>
      </c>
      <c r="B781" t="inlineStr">
        <is>
          <t>26FW</t>
        </is>
      </c>
      <c r="C781" t="inlineStr">
        <is>
          <t>TRAVEL &amp; COUNTRY</t>
        </is>
      </c>
      <c r="D781">
        <f>U781</f>
        <v/>
      </c>
      <c r="E781" t="n">
        <v>1101742</v>
      </c>
      <c r="F781" t="inlineStr">
        <is>
          <t>DOWN LINER COAT</t>
        </is>
      </c>
      <c r="G781" t="inlineStr">
        <is>
          <t>BK</t>
        </is>
      </c>
      <c r="H781" t="inlineStr">
        <is>
          <t>BK</t>
        </is>
      </c>
      <c r="I781">
        <f>VLOOKUP(H781,[1]尺寸簡表!$C$3:$D$1263,2,0)</f>
        <v/>
      </c>
      <c r="J781" t="n">
        <v>10500</v>
      </c>
      <c r="K781" t="inlineStr">
        <is>
          <t>◎ 表布：75D 聚酯纖維(撥水加工)、內裡：10D Ballistic Airlight®抗撕裂尼龍（抗靜電加工）、填充：800FP高品質羽絨。</t>
        </is>
      </c>
    </row>
    <row r="782">
      <c r="A782" t="inlineStr"/>
      <c r="B782" t="inlineStr"/>
      <c r="C782" t="inlineStr">
        <is>
          <t>TRAVEL &amp; COUNTRY</t>
        </is>
      </c>
      <c r="D782">
        <f>U782</f>
        <v/>
      </c>
      <c r="E782" t="n">
        <v>1101547</v>
      </c>
      <c r="F782" t="inlineStr">
        <is>
          <t>HUSKY COAT MEN'S</t>
        </is>
      </c>
      <c r="G782" t="inlineStr">
        <is>
          <t>BK      BN      DGN</t>
        </is>
      </c>
      <c r="H782" t="inlineStr">
        <is>
          <t>DGN</t>
        </is>
      </c>
      <c r="I782">
        <f>VLOOKUP(H782,[1]尺寸簡表!$C$3:$D$1263,2,0)</f>
        <v/>
      </c>
      <c r="J782" t="n">
        <v>7860</v>
      </c>
      <c r="K782" t="inlineStr">
        <is>
          <t>◎ 表布：70D 尼龍(撥水加工)、內裡：20D Ballistic®抗撕裂尼龍（抗靜電加工）、填充：650FP高品質羽絨。
◎ 三層結構，填充大量羽絨，質輕且保暖性極佳。外部材質經過防水處理，可輕鬆抵禦小雨，不易附著污垢。</t>
        </is>
      </c>
    </row>
    <row r="783">
      <c r="A783" t="inlineStr"/>
      <c r="B783" t="inlineStr"/>
      <c r="C783" t="inlineStr">
        <is>
          <t>TRAVEL &amp; COUNTRY</t>
        </is>
      </c>
      <c r="D783">
        <f>U783</f>
        <v/>
      </c>
      <c r="E783" t="n">
        <v>1101569</v>
      </c>
      <c r="F783" t="inlineStr">
        <is>
          <t>HUSKY COAT WOMEN'S</t>
        </is>
      </c>
      <c r="G783" t="inlineStr">
        <is>
          <t>BRIC      HTGN</t>
        </is>
      </c>
      <c r="I783">
        <f>VLOOKUP(H783,[1]尺寸簡表!$C$3:$D$1263,2,0)</f>
        <v/>
      </c>
      <c r="J783" t="n">
        <v>7860</v>
      </c>
      <c r="K783" t="inlineStr">
        <is>
          <t>◎ 表布：70D 尼龍(撥水加工)、內裡：20D Ballistic®抗撕裂尼龍（抗靜電加工）、填充：650FP高品質羽絨。
◎ 三層結構，填充大量羽絨，質輕且保暖性極佳。外部材質經過防水處理，可輕鬆抵禦小雨，不易附著污垢。</t>
        </is>
      </c>
    </row>
    <row r="784">
      <c r="A784" t="inlineStr"/>
      <c r="B784" t="inlineStr"/>
      <c r="C784" t="inlineStr">
        <is>
          <t>TRAVEL &amp; COUNTRY</t>
        </is>
      </c>
      <c r="D784">
        <f>U784</f>
        <v/>
      </c>
      <c r="E784" t="n">
        <v>1101724</v>
      </c>
      <c r="F784" t="inlineStr">
        <is>
          <t>NEIGE DOWN COAT WOMEN'S</t>
        </is>
      </c>
      <c r="G784" t="inlineStr">
        <is>
          <t>BK      DBN</t>
        </is>
      </c>
      <c r="H784" t="inlineStr">
        <is>
          <t>DBN</t>
        </is>
      </c>
      <c r="I784">
        <f>VLOOKUP(H784,[1]尺寸簡表!$C$3:$D$1263,2,0)</f>
        <v/>
      </c>
      <c r="J784" t="n">
        <v>9440</v>
      </c>
      <c r="K784" t="inlineStr">
        <is>
          <t>◎ 重量：454g。表布：20D抗撕裂超輕量Ballistic®表布（撥水/抗靜電加工）、內裡20D Ballistic®尼龍布（防靜電加工）、填充：800FP高品質鵝絨（薄手）。</t>
        </is>
      </c>
    </row>
    <row r="785">
      <c r="A785" t="inlineStr"/>
      <c r="B785" t="inlineStr"/>
      <c r="C785" t="inlineStr">
        <is>
          <t>TRAVEL &amp; COUNTRY</t>
        </is>
      </c>
      <c r="D785">
        <f>U785</f>
        <v/>
      </c>
      <c r="E785" t="n">
        <v>1101684</v>
      </c>
      <c r="F785" t="inlineStr">
        <is>
          <t>SUPERIOR DOWN TRAVEL COAT WOMEN'S</t>
        </is>
      </c>
      <c r="G785" t="inlineStr">
        <is>
          <t>BK      DNV      IV      KH</t>
        </is>
      </c>
      <c r="H785" t="inlineStr">
        <is>
          <t>IV</t>
        </is>
      </c>
      <c r="I785">
        <f>VLOOKUP(H785,[1]尺寸簡表!$C$3:$D$1263,2,0)</f>
        <v/>
      </c>
      <c r="J785" t="n">
        <v>7480</v>
      </c>
      <c r="K785" t="inlineStr">
        <is>
          <t>◎ 重量：277g。表布：20D Ballistic®抗撕裂尼龍（撥水加工）、內裡10D Ballistic®Airlight超輕量尼龍布（撥水/抗靜電加工），填充：800FP高品質鵝絨（薄手）。</t>
        </is>
      </c>
    </row>
    <row r="786">
      <c r="A786" t="inlineStr"/>
      <c r="B786" t="inlineStr"/>
      <c r="C786" t="inlineStr">
        <is>
          <t>TRAVEL &amp; COUNTRY</t>
        </is>
      </c>
      <c r="D786">
        <f>U786</f>
        <v/>
      </c>
      <c r="E786" t="n">
        <v>1101550</v>
      </c>
      <c r="F786" t="inlineStr">
        <is>
          <t>TRAVEL DOWN LONG COAT WOMEN'S</t>
        </is>
      </c>
      <c r="G786" t="inlineStr">
        <is>
          <t>DKSP      LTKH      TRBK</t>
        </is>
      </c>
      <c r="H786" t="inlineStr">
        <is>
          <t>LTKH</t>
        </is>
      </c>
      <c r="I786">
        <f>VLOOKUP(H786,[1]尺寸簡表!$C$3:$D$1263,2,0)</f>
        <v/>
      </c>
      <c r="J786" t="n">
        <v>7200</v>
      </c>
      <c r="K786" t="inlineStr">
        <is>
          <t>◎ 重量：505g。表布：50D尼龍布（撥水加工）、內裡：20D Ballistic®抗撕裂尼龍（抗靜電加工），填充800FP高品質鵝絨（中厚手），重量：505g。
◎ 三枚差結構，高度防風。穿著長度約到膝蓋上緣。</t>
        </is>
      </c>
    </row>
    <row r="787">
      <c r="A787" t="inlineStr"/>
      <c r="B787" t="inlineStr"/>
      <c r="C787" t="inlineStr">
        <is>
          <t>TRAVEL &amp; COUNTRY</t>
        </is>
      </c>
      <c r="D787">
        <f>U787</f>
        <v/>
      </c>
      <c r="E787" t="n">
        <v>1101549</v>
      </c>
      <c r="F787" t="inlineStr">
        <is>
          <t>TRAVEL DOWN PARKA WOMEN'S</t>
        </is>
      </c>
      <c r="G787" t="inlineStr">
        <is>
          <t>DBN      SVWT      TRBK</t>
        </is>
      </c>
      <c r="H787" t="inlineStr">
        <is>
          <t>DBN</t>
        </is>
      </c>
      <c r="I787">
        <f>VLOOKUP(H787,[1]尺寸簡表!$C$3:$D$1263,2,0)</f>
        <v/>
      </c>
      <c r="J787" t="n">
        <v>6540</v>
      </c>
      <c r="K787" t="inlineStr">
        <is>
          <t>◎ 重量：505g。表布：50D尼龍布（撥水加工）、內裡：20D Ballistic®抗撕裂尼龍（抗靜電加工），填充800FP高品質鵝絨（中厚手），重量：456g。
◎ 三枚差結構，高度防風。穿著長度約可蓋住臀部。</t>
        </is>
      </c>
    </row>
    <row r="788">
      <c r="A788" t="inlineStr"/>
      <c r="B788" t="inlineStr"/>
      <c r="C788" t="inlineStr">
        <is>
          <t>TRAVEL &amp; COUNTRY</t>
        </is>
      </c>
      <c r="D788">
        <f>U788</f>
        <v/>
      </c>
      <c r="E788" t="n">
        <v>1101723</v>
      </c>
      <c r="F788" t="inlineStr">
        <is>
          <t>U.L. TRAVEL DOWN COAT WOMEN'S</t>
        </is>
      </c>
      <c r="G788" t="inlineStr">
        <is>
          <t>BK      KH      LGY</t>
        </is>
      </c>
      <c r="H788" t="inlineStr">
        <is>
          <t>KH</t>
        </is>
      </c>
      <c r="I788">
        <f>VLOOKUP(H788,[1]尺寸簡表!$C$3:$D$1263,2,0)</f>
        <v/>
      </c>
      <c r="J788" t="n">
        <v>9000</v>
      </c>
      <c r="K788" t="inlineStr">
        <is>
          <t>◎ 重量：352g。(SUPER) DRYTEC 2L（耐水壓20,000mm+）表布：12D Ballistic®Airlight抗撕裂輕量布（撥水加工）、內裡：20D Ballistic®尼龍布（防靜電加工）。填充800FP高品質鵝絨。
◎ 三枚差結構，高度防風。穿著長度約到膝蓋上緣。</t>
        </is>
      </c>
    </row>
    <row r="789">
      <c r="A789" t="inlineStr">
        <is>
          <t>促銷款</t>
        </is>
      </c>
      <c r="B789" t="inlineStr">
        <is>
          <t>活動款</t>
        </is>
      </c>
      <c r="C789" t="inlineStr">
        <is>
          <t>VEST</t>
        </is>
      </c>
      <c r="D789">
        <f>U789</f>
        <v/>
      </c>
      <c r="E789" t="n">
        <v>1106823</v>
      </c>
      <c r="F789" t="inlineStr">
        <is>
          <t>LIGHT SHELL VEST MEN'S</t>
        </is>
      </c>
      <c r="G789" t="inlineStr">
        <is>
          <t>BGN      BK      OG</t>
        </is>
      </c>
      <c r="H789" t="inlineStr">
        <is>
          <t>BGN</t>
        </is>
      </c>
      <c r="I789">
        <f>VLOOKUP(H789,[1]尺寸簡表!$C$3:$D$1263,2,0)</f>
        <v/>
      </c>
      <c r="J789" t="n">
        <v>2450</v>
      </c>
      <c r="K789" t="inlineStr">
        <is>
          <t>◎ 40D抗撕裂尼龍布料內有CIMAPLUS®MESH輕量超細纖維（撥水加工）。</t>
        </is>
      </c>
    </row>
    <row r="790">
      <c r="A790" t="inlineStr">
        <is>
          <t>促銷款</t>
        </is>
      </c>
      <c r="B790" t="inlineStr">
        <is>
          <t>活動款</t>
        </is>
      </c>
      <c r="C790" t="inlineStr">
        <is>
          <t>VEST</t>
        </is>
      </c>
      <c r="D790">
        <f>U790</f>
        <v/>
      </c>
      <c r="E790" t="n">
        <v>1106824</v>
      </c>
      <c r="F790" t="inlineStr">
        <is>
          <t>LIGHT SHELL VEST WOMEN'S</t>
        </is>
      </c>
      <c r="G790" t="inlineStr">
        <is>
          <t>BK      WT</t>
        </is>
      </c>
      <c r="H790" t="inlineStr">
        <is>
          <t>BK</t>
        </is>
      </c>
      <c r="I790">
        <f>VLOOKUP(H790,[1]尺寸簡表!$C$3:$D$1263,2,0)</f>
        <v/>
      </c>
      <c r="J790" t="n">
        <v>2290</v>
      </c>
      <c r="K790" t="inlineStr">
        <is>
          <t>◎ 40D抗撕裂尼龍布料內有CIMAPLUS®MESH輕量超細纖維（撥水加工）。</t>
        </is>
      </c>
    </row>
    <row r="791">
      <c r="A791" t="inlineStr"/>
      <c r="B791" t="inlineStr"/>
      <c r="C791" t="inlineStr">
        <is>
          <t>VEST</t>
        </is>
      </c>
      <c r="D791">
        <f>U791</f>
        <v/>
      </c>
      <c r="E791" t="n">
        <v>1103333</v>
      </c>
      <c r="F791" t="inlineStr">
        <is>
          <t>NATURE GUIDE LIGHT VEST MEN'S</t>
        </is>
      </c>
      <c r="G791" t="inlineStr">
        <is>
          <t>DGN      TN</t>
        </is>
      </c>
      <c r="H791" t="inlineStr">
        <is>
          <t>TN      DGN</t>
        </is>
      </c>
      <c r="I791">
        <f>VLOOKUP(H791,[1]尺寸簡表!$C$3:$D$1263,2,0)</f>
        <v/>
      </c>
      <c r="J791" t="n">
        <v>3400</v>
      </c>
      <c r="K791" t="inlineStr">
        <is>
          <t>◎ 主體：70D消光尼龍（撥水加工）、背部：Breeze Dot透氣網布。</t>
        </is>
      </c>
    </row>
    <row r="792">
      <c r="A792" t="inlineStr">
        <is>
          <t>27SS</t>
        </is>
      </c>
      <c r="B792" t="inlineStr">
        <is>
          <t>27SS</t>
        </is>
      </c>
      <c r="C792" t="inlineStr">
        <is>
          <t>VEST</t>
        </is>
      </c>
      <c r="D792">
        <f>U792</f>
        <v/>
      </c>
      <c r="E792" t="n">
        <v>1103389</v>
      </c>
      <c r="F792" t="inlineStr">
        <is>
          <t>NATURE GUIDE VEST</t>
        </is>
      </c>
      <c r="G792" t="inlineStr">
        <is>
          <t>DGN      TN</t>
        </is>
      </c>
      <c r="H792" t="inlineStr">
        <is>
          <t>DGN</t>
        </is>
      </c>
      <c r="I792">
        <f>VLOOKUP(H792,[1]尺寸簡表!$C$3:$D$1263,2,0)</f>
        <v/>
      </c>
      <c r="J792" t="n">
        <v>3770</v>
      </c>
      <c r="K792" t="inlineStr">
        <is>
          <t>◎口袋、肩部：100%尼龍，網布：100%聚酯纖維。
◎ 輕便多功能背心有多種高儲存容量的口袋，可在登山、觀鳥等情況下使用。從背面到側面均採用高度透氣的網狀材料。
◎ 改款重點：移除墊肩、扣子改為塑膠。</t>
        </is>
      </c>
    </row>
    <row r="793">
      <c r="A793" t="inlineStr"/>
      <c r="B793" t="inlineStr"/>
      <c r="C793" t="inlineStr">
        <is>
          <t>VEST</t>
        </is>
      </c>
      <c r="D793">
        <f>U793</f>
        <v/>
      </c>
      <c r="E793" t="n">
        <v>1103253</v>
      </c>
      <c r="F793" t="inlineStr">
        <is>
          <t>O.D. VEST MEN'S</t>
        </is>
      </c>
      <c r="G793" t="inlineStr">
        <is>
          <t>BK      BRDL      BRIC      DN/DN</t>
        </is>
      </c>
      <c r="H793" t="inlineStr">
        <is>
          <t>BRDL</t>
        </is>
      </c>
      <c r="I793">
        <f>VLOOKUP(H793,[1]尺寸簡表!$C$3:$D$1263,2,0)</f>
        <v/>
      </c>
      <c r="J793" t="n">
        <v>2350</v>
      </c>
      <c r="K793" t="inlineStr">
        <is>
          <t>◎ 70D仿棉手感消光尼龍（撥水處理）。</t>
        </is>
      </c>
    </row>
    <row r="794">
      <c r="A794" t="inlineStr"/>
      <c r="B794" t="inlineStr"/>
      <c r="C794" t="inlineStr">
        <is>
          <t>VEST</t>
        </is>
      </c>
      <c r="D794">
        <f>U794</f>
        <v/>
      </c>
      <c r="E794" t="n">
        <v>1103254</v>
      </c>
      <c r="F794" t="inlineStr">
        <is>
          <t>O.D. VEST WOMEN'S</t>
        </is>
      </c>
      <c r="G794" t="inlineStr">
        <is>
          <t>IV      NV24      WRD</t>
        </is>
      </c>
      <c r="H794" t="inlineStr">
        <is>
          <t>IV</t>
        </is>
      </c>
      <c r="I794">
        <f>VLOOKUP(H794,[1]尺寸簡表!$C$3:$D$1263,2,0)</f>
        <v/>
      </c>
      <c r="J794" t="n">
        <v>2350</v>
      </c>
      <c r="K794" t="inlineStr">
        <is>
          <t>◎ 70D仿棉手感消光尼龍（撥水處理）。</t>
        </is>
      </c>
    </row>
    <row r="795">
      <c r="C795" t="inlineStr">
        <is>
          <t>VEST</t>
        </is>
      </c>
      <c r="D795">
        <f>U795</f>
        <v/>
      </c>
      <c r="E795" t="n">
        <v>1103354</v>
      </c>
      <c r="F795" t="inlineStr">
        <is>
          <t>O.D. V-NECK VEST MEN'S</t>
        </is>
      </c>
      <c r="G795" t="inlineStr">
        <is>
          <t>NV      TN</t>
        </is>
      </c>
      <c r="I795">
        <f>VLOOKUP(H795,[1]尺寸簡表!$C$3:$D$1263,2,0)</f>
        <v/>
      </c>
      <c r="J795" t="n">
        <v>2130</v>
      </c>
      <c r="K795" t="inlineStr">
        <is>
          <t>◎ 材質：70D仿棉手感消光尼龍（撥水處理），V 領輕量抗風背心。</t>
        </is>
      </c>
    </row>
    <row r="796">
      <c r="A796" t="inlineStr"/>
      <c r="B796" t="inlineStr"/>
      <c r="C796" t="inlineStr">
        <is>
          <t>ACCESSORIES</t>
        </is>
      </c>
      <c r="D796">
        <f>U796</f>
        <v/>
      </c>
      <c r="E796" t="n">
        <v>1124942</v>
      </c>
      <c r="F796" t="inlineStr">
        <is>
          <t>ALUMINUM KEY CARABINER #1</t>
        </is>
      </c>
      <c r="G796" t="inlineStr">
        <is>
          <t>BK      CNBL      SV      VER</t>
        </is>
      </c>
      <c r="H796" t="inlineStr">
        <is>
          <t>CNBL      VER</t>
        </is>
      </c>
      <c r="J796" t="n">
        <v>140</v>
      </c>
      <c r="K796" t="inlineStr">
        <is>
          <t>◎ 重量：7g、尺寸：26×50mm。
◎ 材質：鋁合金，快扣式小鉤環配件。</t>
        </is>
      </c>
    </row>
    <row r="797">
      <c r="A797" t="inlineStr"/>
      <c r="B797" t="inlineStr"/>
      <c r="C797" t="inlineStr">
        <is>
          <t>ACCESSORIES</t>
        </is>
      </c>
      <c r="D797">
        <f>U797</f>
        <v/>
      </c>
      <c r="E797" t="n">
        <v>1124943</v>
      </c>
      <c r="F797" t="inlineStr">
        <is>
          <t>ALUMINUM KEY CARABINER #2</t>
        </is>
      </c>
      <c r="G797" t="inlineStr">
        <is>
          <t>BK      CNBL      SV      VER</t>
        </is>
      </c>
      <c r="H797" t="inlineStr">
        <is>
          <t>BK      SV</t>
        </is>
      </c>
      <c r="J797" t="n">
        <v>200</v>
      </c>
      <c r="K797" t="inlineStr">
        <is>
          <t>◎ 重量：10g、尺寸：31×60mm。
◎ 材質：鋁合金，快扣式小鉤環配件。</t>
        </is>
      </c>
    </row>
    <row r="798">
      <c r="A798" t="inlineStr"/>
      <c r="B798" t="inlineStr"/>
      <c r="C798" t="inlineStr">
        <is>
          <t>ACCESSORIES</t>
        </is>
      </c>
      <c r="D798">
        <f>U798</f>
        <v/>
      </c>
      <c r="E798" t="n">
        <v>1124947</v>
      </c>
      <c r="F798" t="inlineStr">
        <is>
          <t>ALUMINUM WHISTLE M</t>
        </is>
      </c>
      <c r="G798" t="inlineStr">
        <is>
          <t>GDOG      MALD      VER</t>
        </is>
      </c>
      <c r="H798" t="inlineStr">
        <is>
          <t>GDOG</t>
        </is>
      </c>
      <c r="J798" t="n">
        <v>340</v>
      </c>
      <c r="K798" t="inlineStr">
        <is>
          <t>◎ 重量：15g、鉤環：26×50mm、哨子：Φ12×64mm。
◎ 材質：鋁合金，快扣式小鉤環，附哨子。</t>
        </is>
      </c>
    </row>
    <row r="799">
      <c r="A799" t="inlineStr"/>
      <c r="B799" t="inlineStr"/>
      <c r="C799" t="inlineStr">
        <is>
          <t>ACCESSORIES</t>
        </is>
      </c>
      <c r="D799">
        <f>U799</f>
        <v/>
      </c>
      <c r="E799" t="n">
        <v>1124946</v>
      </c>
      <c r="F799" t="inlineStr">
        <is>
          <t>ALUMINUM WHISTLE S</t>
        </is>
      </c>
      <c r="G799" t="inlineStr">
        <is>
          <t>CNBL      GM      RBL      SG      VER</t>
        </is>
      </c>
      <c r="H799" t="inlineStr">
        <is>
          <t>CNBL</t>
        </is>
      </c>
      <c r="J799" t="n">
        <v>280</v>
      </c>
      <c r="K799" t="inlineStr">
        <is>
          <t>◎ 重量：11g、鉤環：26×50mm、哨子：Φ9×52mm。
◎ 材質：鋁合金，快扣式小鉤環，附哨子。</t>
        </is>
      </c>
    </row>
    <row r="800">
      <c r="A800" t="inlineStr"/>
      <c r="B800" t="inlineStr"/>
      <c r="C800" t="inlineStr">
        <is>
          <t>ACCESSORIES</t>
        </is>
      </c>
      <c r="D800">
        <f>U800</f>
        <v/>
      </c>
      <c r="E800" t="n">
        <v>1124945</v>
      </c>
      <c r="F800" t="inlineStr">
        <is>
          <t>BRASS TREKKING BELL M</t>
        </is>
      </c>
      <c r="G800" t="inlineStr">
        <is>
          <t>CNBL      GM      RBL      SG      VER</t>
        </is>
      </c>
      <c r="H800" t="inlineStr">
        <is>
          <t>GM</t>
        </is>
      </c>
      <c r="J800" t="n">
        <v>600</v>
      </c>
      <c r="K800" t="inlineStr">
        <is>
          <t>◎ 重量：36g、鉤環：26×50mm、鈴鐺：Φ33×28mm。
◎ 材質：鋁合金，快扣式小鉤環，附鈴鐺。</t>
        </is>
      </c>
    </row>
    <row r="801">
      <c r="A801" t="inlineStr"/>
      <c r="B801" t="inlineStr"/>
      <c r="C801" t="inlineStr">
        <is>
          <t>ACCESSORIES</t>
        </is>
      </c>
      <c r="D801">
        <f>U801</f>
        <v/>
      </c>
      <c r="E801" t="n">
        <v>1124944</v>
      </c>
      <c r="F801" t="inlineStr">
        <is>
          <t>BRASS TREKKING BELL S</t>
        </is>
      </c>
      <c r="G801" t="inlineStr">
        <is>
          <t>CNBL      GM      RBL      SG      VER</t>
        </is>
      </c>
      <c r="H801" t="inlineStr">
        <is>
          <t>SG</t>
        </is>
      </c>
      <c r="J801" t="n">
        <v>500</v>
      </c>
      <c r="K801" t="inlineStr">
        <is>
          <t>◎ 重量：20g、鉤環：26×50mm、鈴鐺：Φ24×22mm。
◎ 材質：鋁合金，快扣式小鉤環，附鈴鐺。</t>
        </is>
      </c>
    </row>
    <row r="802">
      <c r="A802" t="inlineStr"/>
      <c r="B802" t="inlineStr"/>
      <c r="C802" t="inlineStr">
        <is>
          <t>ACCESSORIES</t>
        </is>
      </c>
      <c r="D802">
        <f>U802</f>
        <v/>
      </c>
      <c r="E802" t="n">
        <v>1124725</v>
      </c>
      <c r="F802" t="inlineStr">
        <is>
          <t>CARABINER KEY HOLDER 6</t>
        </is>
      </c>
      <c r="G802" t="inlineStr">
        <is>
          <t>BK      MALD      VER</t>
        </is>
      </c>
      <c r="H802" t="inlineStr">
        <is>
          <t>BK</t>
        </is>
      </c>
      <c r="J802" t="n">
        <v>180</v>
      </c>
      <c r="K802" t="inlineStr">
        <is>
          <t>◎ 重量：13g、鉤環：35×65mm、鑰匙扣：50mm。
◎ 材質：鋁合金，快扣式小鉤環，附鑰匙扣。</t>
        </is>
      </c>
    </row>
    <row r="803">
      <c r="A803" t="inlineStr"/>
      <c r="B803" t="inlineStr"/>
      <c r="C803" t="inlineStr">
        <is>
          <t>ACCESSORIES</t>
        </is>
      </c>
      <c r="D803">
        <f>U803</f>
        <v/>
      </c>
      <c r="E803" t="n">
        <v>1124798</v>
      </c>
      <c r="F803" t="inlineStr">
        <is>
          <t>COMPACT DIAL LOCK</t>
        </is>
      </c>
      <c r="G803" t="inlineStr">
        <is>
          <t>GM</t>
        </is>
      </c>
      <c r="J803" t="n">
        <v>420</v>
      </c>
      <c r="K803" t="inlineStr">
        <is>
          <t>◎ 重量：48g、鋼索長：70cm。
◎ 材質：ABS樹脂、鋼。鋼絲密碼鎖，輕便收納好攜帶。</t>
        </is>
      </c>
    </row>
    <row r="804">
      <c r="A804" t="inlineStr"/>
      <c r="B804" t="inlineStr"/>
      <c r="C804" t="inlineStr">
        <is>
          <t>ACCESSORIES</t>
        </is>
      </c>
      <c r="D804">
        <f>U804</f>
        <v/>
      </c>
      <c r="E804" t="n">
        <v>1124616</v>
      </c>
      <c r="F804" t="inlineStr">
        <is>
          <t>COMPACT MULTI SHEET</t>
        </is>
      </c>
      <c r="H804" t="inlineStr">
        <is>
          <t>現場樣品</t>
        </is>
      </c>
      <c r="J804" t="n">
        <v>500</v>
      </c>
      <c r="K804" t="inlineStr">
        <is>
          <t>◎ 重量：115g、展開尺寸：210×130cm、收納尺寸：6.5×6.5×10cm。
◎ 材質：鋁合金蒸鍍聚乙烯薄膜。可重複使用的急救毯，質地柔軟且不會發出聲音。</t>
        </is>
      </c>
    </row>
    <row r="805">
      <c r="A805" t="inlineStr"/>
      <c r="B805" t="inlineStr"/>
      <c r="C805" t="inlineStr">
        <is>
          <t>ACCESSORIES</t>
        </is>
      </c>
      <c r="D805">
        <f>U805</f>
        <v/>
      </c>
      <c r="E805" t="n">
        <v>1134305</v>
      </c>
      <c r="F805" t="inlineStr">
        <is>
          <t>DRY-TEC REPAIR PATCH SHEET</t>
        </is>
      </c>
      <c r="H805" t="inlineStr">
        <is>
          <t>現場樣品</t>
        </is>
      </c>
      <c r="J805" t="n">
        <v>240</v>
      </c>
      <c r="K805" t="inlineStr">
        <is>
          <t>◎ 尺寸：20×24cm。
◎ DRY-TEC修補貼布，適用於修補風雨衣、帳蓬及雨具。</t>
        </is>
      </c>
    </row>
    <row r="806">
      <c r="A806" t="inlineStr"/>
      <c r="B806" t="inlineStr"/>
      <c r="C806" t="inlineStr">
        <is>
          <t>ACCESSORIES</t>
        </is>
      </c>
      <c r="D806">
        <f>U806</f>
        <v/>
      </c>
      <c r="E806" t="n">
        <v>1124247</v>
      </c>
      <c r="F806" t="inlineStr">
        <is>
          <t>EMERGENCY CALL</t>
        </is>
      </c>
      <c r="G806" t="inlineStr">
        <is>
          <t>OG      YL</t>
        </is>
      </c>
      <c r="H806" t="inlineStr">
        <is>
          <t>YL      OG</t>
        </is>
      </c>
      <c r="J806" t="n">
        <v>350</v>
      </c>
      <c r="K806" t="inlineStr">
        <is>
          <t>◎ 發出3000Hz頻率的緊急哨，哨身可填寫個人資料，具孔洞穿入掛繩隨身攜帶。</t>
        </is>
      </c>
    </row>
    <row r="807">
      <c r="A807" t="inlineStr"/>
      <c r="B807" t="inlineStr"/>
      <c r="C807" t="inlineStr">
        <is>
          <t>ACCESSORIES</t>
        </is>
      </c>
      <c r="D807">
        <f>U807</f>
        <v/>
      </c>
      <c r="E807" t="n">
        <v>1124306</v>
      </c>
      <c r="F807" t="inlineStr">
        <is>
          <t>EMERGENCY SHEET</t>
        </is>
      </c>
      <c r="H807" t="inlineStr">
        <is>
          <t>現場樣品</t>
        </is>
      </c>
      <c r="J807" t="n">
        <v>160</v>
      </c>
      <c r="K807" t="inlineStr">
        <is>
          <t>◎ 重量：50g、展開尺寸：213×132cm、收納尺寸：6×8.4×3.5cm。
◎ 鋁箔紙可以反射身體的體熱、維持體溫，並可以擋風、防水。輕量、輕巧不佔空間，保命的好裝備。</t>
        </is>
      </c>
    </row>
    <row r="808">
      <c r="A808" t="inlineStr"/>
      <c r="B808" t="inlineStr"/>
      <c r="C808" t="inlineStr">
        <is>
          <t>ACCESSORIES</t>
        </is>
      </c>
      <c r="D808">
        <f>U808</f>
        <v/>
      </c>
      <c r="E808" t="n">
        <v>1124805</v>
      </c>
      <c r="F808" t="inlineStr">
        <is>
          <t>HANDY SCALE</t>
        </is>
      </c>
      <c r="G808" t="inlineStr">
        <is>
          <t>BK</t>
        </is>
      </c>
      <c r="H808" t="inlineStr">
        <is>
          <t>BK</t>
        </is>
      </c>
      <c r="J808" t="n">
        <v>460</v>
      </c>
      <c r="K808" t="inlineStr">
        <is>
          <t>◎ 重量：75g，最大荷重：50kg。
◎ 輕巧便於攜帶的電子秤，可切換公斤及國際磅。</t>
        </is>
      </c>
    </row>
    <row r="809">
      <c r="A809" t="inlineStr"/>
      <c r="B809" t="inlineStr"/>
      <c r="C809" t="inlineStr">
        <is>
          <t>ACCESSORIES</t>
        </is>
      </c>
      <c r="D809">
        <f>U809</f>
        <v/>
      </c>
      <c r="E809" t="n">
        <v>1124258</v>
      </c>
      <c r="F809" t="inlineStr">
        <is>
          <t>HANDY SCOOP</t>
        </is>
      </c>
      <c r="H809" t="inlineStr">
        <is>
          <t>現場樣品</t>
        </is>
      </c>
      <c r="J809" t="n">
        <v>550</v>
      </c>
      <c r="K809" t="inlineStr">
        <is>
          <t>◎ 重量：40g。
◎ 材質：不鏽鋼。輕量化方便攜帶、堅固的小鏟子。</t>
        </is>
      </c>
    </row>
    <row r="810">
      <c r="A810" t="inlineStr"/>
      <c r="B810" t="inlineStr"/>
      <c r="C810" t="inlineStr">
        <is>
          <t>ACCESSORIES</t>
        </is>
      </c>
      <c r="D810">
        <f>U810</f>
        <v/>
      </c>
      <c r="E810" t="n">
        <v>1134436</v>
      </c>
      <c r="F810" t="inlineStr">
        <is>
          <t>HIGH-VOLUME WHISTLE</t>
        </is>
      </c>
      <c r="G810" t="inlineStr">
        <is>
          <t>BK      OG</t>
        </is>
      </c>
      <c r="H810" t="inlineStr">
        <is>
          <t>OG</t>
        </is>
      </c>
      <c r="J810" t="n">
        <v>300</v>
      </c>
      <c r="K810" t="inlineStr">
        <is>
          <t>◎ 尺寸：55x20x20mm，材質：ABS。輸出：124.7分貝。
◎ 專業級高分貝求生哨子。人體工學造型。
◎ 雙腔體結構不需內部滾珠即可發聲，沾水或遇沙仍能正常使用。
◎ 隨附 100 公分掛繩，方便掛於頸部或裝備上。</t>
        </is>
      </c>
    </row>
    <row r="811">
      <c r="A811" t="inlineStr"/>
      <c r="B811" t="inlineStr"/>
      <c r="C811" t="inlineStr">
        <is>
          <t>ACCESSORIES</t>
        </is>
      </c>
      <c r="D811">
        <f>U811</f>
        <v/>
      </c>
      <c r="E811" t="n">
        <v>1124333</v>
      </c>
      <c r="F811" t="inlineStr">
        <is>
          <t>KEY CARABINER FLAT D KAN 4</t>
        </is>
      </c>
      <c r="G811" t="inlineStr">
        <is>
          <t>BK      CNBL      GM      LV      RBL      SG      SV      VER</t>
        </is>
      </c>
      <c r="H811" t="inlineStr">
        <is>
          <t>CNBL</t>
        </is>
      </c>
      <c r="J811" t="n">
        <v>130</v>
      </c>
      <c r="K811" t="inlineStr">
        <is>
          <t>◎ 重量：5g、尺寸：25×40mm。
◎ 材質：鋁合金，快扣式小鉤環配件。</t>
        </is>
      </c>
    </row>
    <row r="812">
      <c r="A812" t="inlineStr"/>
      <c r="B812" t="inlineStr"/>
      <c r="C812" t="inlineStr">
        <is>
          <t>ACCESSORIES</t>
        </is>
      </c>
      <c r="D812">
        <f>U812</f>
        <v/>
      </c>
      <c r="E812" t="n">
        <v>1124334</v>
      </c>
      <c r="F812" t="inlineStr">
        <is>
          <t>KEY CARABINER FLAT D KAN 6</t>
        </is>
      </c>
      <c r="G812" t="inlineStr">
        <is>
          <t>BK      GM      RBL      SG      VER</t>
        </is>
      </c>
      <c r="H812" t="inlineStr">
        <is>
          <t>GM</t>
        </is>
      </c>
      <c r="J812" t="n">
        <v>170</v>
      </c>
      <c r="K812" t="inlineStr">
        <is>
          <t>◎ 重量：11g、尺寸：35×60mm。
◎ 材質：鋁合金，快扣式小鉤環配件。</t>
        </is>
      </c>
    </row>
    <row r="813">
      <c r="A813" t="inlineStr"/>
      <c r="B813" t="inlineStr"/>
      <c r="C813" t="inlineStr">
        <is>
          <t>ACCESSORIES</t>
        </is>
      </c>
      <c r="D813">
        <f>U813</f>
        <v/>
      </c>
      <c r="E813" t="n">
        <v>1124335</v>
      </c>
      <c r="F813" t="inlineStr">
        <is>
          <t>KEY CARABINER FLAT D KAN 7</t>
        </is>
      </c>
      <c r="G813" t="inlineStr">
        <is>
          <t>BK      GM      RBL      SG      VER</t>
        </is>
      </c>
      <c r="J813" t="n">
        <v>180</v>
      </c>
      <c r="K813" t="inlineStr">
        <is>
          <t>◎ 重量：16g、尺寸：45×72mm。
◎ 材質：鋁合金，快扣式小鉤環配件。</t>
        </is>
      </c>
    </row>
    <row r="814">
      <c r="A814" t="inlineStr"/>
      <c r="B814" t="inlineStr"/>
      <c r="C814" t="inlineStr">
        <is>
          <t>ACCESSORIES</t>
        </is>
      </c>
      <c r="D814">
        <f>U814</f>
        <v/>
      </c>
      <c r="E814" t="n">
        <v>1124336</v>
      </c>
      <c r="F814" t="inlineStr">
        <is>
          <t>KEY CARABINER FLAT NASU-KAN 5</t>
        </is>
      </c>
      <c r="G814" t="inlineStr">
        <is>
          <t>BK      CNBL      GM      LV      RBL      SG      SV      VER</t>
        </is>
      </c>
      <c r="J814" t="n">
        <v>130</v>
      </c>
      <c r="K814" t="inlineStr">
        <is>
          <t>◎ 重量：6g、尺寸：26×50mm。
◎ 材質：鋁合金，快扣式小鉤環配件。</t>
        </is>
      </c>
    </row>
    <row r="815">
      <c r="A815" t="inlineStr"/>
      <c r="B815" t="inlineStr"/>
      <c r="C815" t="inlineStr">
        <is>
          <t>ACCESSORIES</t>
        </is>
      </c>
      <c r="D815">
        <f>U815</f>
        <v/>
      </c>
      <c r="E815" t="n">
        <v>1124337</v>
      </c>
      <c r="F815" t="inlineStr">
        <is>
          <t>KEY CARABINER FLAT NASU-KAN 6</t>
        </is>
      </c>
      <c r="G815" t="inlineStr">
        <is>
          <t>BK      CNBL      GM      LV      RBL      SG      SV      VER</t>
        </is>
      </c>
      <c r="J815" t="n">
        <v>170</v>
      </c>
      <c r="K815" t="inlineStr">
        <is>
          <t>◎ 重量：12g、尺寸：33×54mm。
◎ 材質：鋁合金，快扣式小鉤環配件。</t>
        </is>
      </c>
    </row>
    <row r="816">
      <c r="A816" t="inlineStr"/>
      <c r="B816" t="inlineStr"/>
      <c r="C816" t="inlineStr">
        <is>
          <t>ACCESSORIES</t>
        </is>
      </c>
      <c r="D816">
        <f>U816</f>
        <v/>
      </c>
      <c r="E816" t="n">
        <v>1124339</v>
      </c>
      <c r="F816" t="inlineStr">
        <is>
          <t>KEY CARABINER LOCK NASU-KAN 6</t>
        </is>
      </c>
      <c r="G816" t="inlineStr">
        <is>
          <t>BK      GM      RBL      SG      VER</t>
        </is>
      </c>
      <c r="J816" t="n">
        <v>260</v>
      </c>
      <c r="K816" t="inlineStr">
        <is>
          <t>◎ 重量：15g、尺寸：33×60mm。
◎ 材質：鋁合金，快扣式小鉤環配件。</t>
        </is>
      </c>
    </row>
    <row r="817">
      <c r="A817" t="inlineStr"/>
      <c r="B817" t="inlineStr"/>
      <c r="C817" t="inlineStr">
        <is>
          <t>ACCESSORIES</t>
        </is>
      </c>
      <c r="D817">
        <f>U817</f>
        <v/>
      </c>
      <c r="E817" t="n">
        <v>1124338</v>
      </c>
      <c r="F817" t="inlineStr">
        <is>
          <t>KEY CARABINER NASU-KAN 6</t>
        </is>
      </c>
      <c r="G817" t="inlineStr">
        <is>
          <t>BK      CNBL      GM      LV      RBL      SG      SV      VER</t>
        </is>
      </c>
      <c r="H817" t="inlineStr">
        <is>
          <t>SV      LV</t>
        </is>
      </c>
      <c r="J817" t="n">
        <v>180</v>
      </c>
      <c r="K817" t="inlineStr">
        <is>
          <t>◎ 重量：12g、尺寸：33×60mm。
◎ 材質：鋁合金，快扣式小鉤環配件。</t>
        </is>
      </c>
    </row>
    <row r="818">
      <c r="A818" t="inlineStr"/>
      <c r="B818" t="inlineStr"/>
      <c r="C818" t="inlineStr">
        <is>
          <t>ACCESSORIES</t>
        </is>
      </c>
      <c r="D818">
        <f>U818</f>
        <v/>
      </c>
      <c r="E818" t="n">
        <v>1134130</v>
      </c>
      <c r="F818" t="inlineStr">
        <is>
          <t>MONTA BEAR 20CM</t>
        </is>
      </c>
      <c r="H818" t="inlineStr">
        <is>
          <t>現場樣品</t>
        </is>
      </c>
      <c r="J818" t="n">
        <v>1150</v>
      </c>
      <c r="K818" t="inlineStr">
        <is>
          <t>◎ 尺寸：30cm。
◎ 柔軟可愛的蒙塔熊絨布玩偶。</t>
        </is>
      </c>
    </row>
    <row r="819">
      <c r="A819" t="inlineStr"/>
      <c r="B819" t="inlineStr"/>
      <c r="C819" t="inlineStr">
        <is>
          <t>ACCESSORIES</t>
        </is>
      </c>
      <c r="D819">
        <f>U819</f>
        <v/>
      </c>
      <c r="E819" t="n">
        <v>1134131</v>
      </c>
      <c r="F819" t="inlineStr">
        <is>
          <t>MONTA BEAR 30CM</t>
        </is>
      </c>
      <c r="H819" t="inlineStr">
        <is>
          <t>現場樣品</t>
        </is>
      </c>
      <c r="J819" t="n">
        <v>1800</v>
      </c>
      <c r="K819" t="inlineStr">
        <is>
          <t>◎ 尺寸：46cm。
◎ 柔軟可愛的蒙塔熊絨布玩偶。</t>
        </is>
      </c>
    </row>
    <row r="820">
      <c r="A820" t="inlineStr"/>
      <c r="B820" t="inlineStr"/>
      <c r="C820" t="inlineStr">
        <is>
          <t>ACCESSORIES</t>
        </is>
      </c>
      <c r="D820">
        <f>U820</f>
        <v/>
      </c>
      <c r="E820" t="n">
        <v>1124812</v>
      </c>
      <c r="F820" t="inlineStr">
        <is>
          <t>O.D. MAINTENANCE DEODORIZER</t>
        </is>
      </c>
      <c r="H820" t="inlineStr">
        <is>
          <t>現場樣品</t>
        </is>
      </c>
      <c r="J820" t="n">
        <v>880</v>
      </c>
      <c r="K820" t="inlineStr">
        <is>
          <t>◎ 容量：300ml。
◎ 無香料的抗菌除臭噴霧劑，可使用於無法經常清洗的服飾及裝備。</t>
        </is>
      </c>
    </row>
    <row r="821">
      <c r="A821" t="inlineStr"/>
      <c r="B821" t="inlineStr"/>
      <c r="C821" t="inlineStr">
        <is>
          <t>ACCESSORIES</t>
        </is>
      </c>
      <c r="D821">
        <f>U821</f>
        <v/>
      </c>
      <c r="E821" t="n">
        <v>1134136</v>
      </c>
      <c r="F821" t="inlineStr">
        <is>
          <t>O.D. MAINTENANCE DOWN CLEANER 300ML</t>
        </is>
      </c>
      <c r="H821" t="inlineStr">
        <is>
          <t>現場樣品</t>
        </is>
      </c>
      <c r="J821" t="n">
        <v>470</v>
      </c>
      <c r="K821" t="inlineStr">
        <is>
          <t>◎ 容量：300ml。
◎ 環保的中性羽絨洗劑，能溫和洗淨羽絨製品上的汗水和油汙，回復羽絨的蓬鬆度。</t>
        </is>
      </c>
    </row>
    <row r="822">
      <c r="A822" t="inlineStr"/>
      <c r="B822" t="inlineStr"/>
      <c r="C822" t="inlineStr">
        <is>
          <t>ACCESSORIES</t>
        </is>
      </c>
      <c r="D822">
        <f>U822</f>
        <v/>
      </c>
      <c r="E822" t="n">
        <v>1134135</v>
      </c>
      <c r="F822" t="inlineStr">
        <is>
          <t>O.D. MAINTENANCE MULTIUSE CLEANER 300ML</t>
        </is>
      </c>
      <c r="H822" t="inlineStr">
        <is>
          <t>現場樣品</t>
        </is>
      </c>
      <c r="J822" t="n">
        <v>430</v>
      </c>
      <c r="K822" t="inlineStr">
        <is>
          <t>◎ 容量：300ml。
◎ 環保的中性洗劑，能溫和洗淨汗水和油汙，服飾、帳篷、睡袋等製品皆可使用。</t>
        </is>
      </c>
    </row>
    <row r="823">
      <c r="A823" t="inlineStr"/>
      <c r="B823" t="inlineStr"/>
      <c r="C823" t="inlineStr">
        <is>
          <t>ACCESSORIES</t>
        </is>
      </c>
      <c r="D823">
        <f>U823</f>
        <v/>
      </c>
      <c r="E823" t="n">
        <v>1124809</v>
      </c>
      <c r="F823" t="inlineStr">
        <is>
          <t>O.D. MAINTENANCE REPELLENT LIQUID SPRAY 200ML</t>
        </is>
      </c>
      <c r="J823" t="n">
        <v>420</v>
      </c>
      <c r="K823" t="inlineStr">
        <is>
          <t>◎ 容量：200ml。
◎ 環保噴霧型撥水噴劑，不含PFAS，具有優異的防撥水及防油性。</t>
        </is>
      </c>
    </row>
    <row r="824">
      <c r="A824" t="inlineStr"/>
      <c r="B824" t="inlineStr"/>
      <c r="C824" t="inlineStr">
        <is>
          <t>ACCESSORIES</t>
        </is>
      </c>
      <c r="D824">
        <f>U824</f>
        <v/>
      </c>
      <c r="E824" t="n">
        <v>1124810</v>
      </c>
      <c r="F824" t="inlineStr">
        <is>
          <t>O.D. MAINTENANCE REPELLENT LIQUID SPRAY 300ML</t>
        </is>
      </c>
      <c r="H824" t="inlineStr">
        <is>
          <t>現場樣品</t>
        </is>
      </c>
      <c r="J824" t="n">
        <v>580</v>
      </c>
      <c r="K824" t="inlineStr">
        <is>
          <t>◎ 容量：300ml。
◎ 環保噴霧型撥水噴劑，不含PFAS，具有優異的防撥水及防油性。</t>
        </is>
      </c>
    </row>
    <row r="825">
      <c r="A825" t="inlineStr"/>
      <c r="B825" t="inlineStr"/>
      <c r="C825" t="inlineStr">
        <is>
          <t>ACCESSORIES</t>
        </is>
      </c>
      <c r="D825">
        <f>U825</f>
        <v/>
      </c>
      <c r="E825" t="n">
        <v>1134299</v>
      </c>
      <c r="F825" t="inlineStr">
        <is>
          <t>O.D. MAINTENANCE SPRAY-ON WATER REPELLENT 170ML</t>
        </is>
      </c>
      <c r="J825" t="n">
        <v>430</v>
      </c>
      <c r="K825" t="inlineStr">
        <is>
          <t>◎ 容量：170ml。
◎ 噴霧型撥水劑，適用於尼龍、聚酯纖維、棉、羊毛等布製品，不含PFAS。</t>
        </is>
      </c>
    </row>
    <row r="826">
      <c r="A826" t="inlineStr"/>
      <c r="B826" t="inlineStr"/>
      <c r="C826" t="inlineStr">
        <is>
          <t>ACCESSORIES</t>
        </is>
      </c>
      <c r="D826">
        <f>U826</f>
        <v/>
      </c>
      <c r="E826" t="n">
        <v>1134300</v>
      </c>
      <c r="F826" t="inlineStr">
        <is>
          <t>O.D. MAINTENANCE SPRAY-ON WATER REPELLENT 330ML</t>
        </is>
      </c>
      <c r="J826" t="n">
        <v>500</v>
      </c>
      <c r="K826" t="inlineStr">
        <is>
          <t>◎ 容量：330ml。
◎ 噴霧型撥水劑，適用於尼龍、聚酯纖維、棉、羊毛等布製品，不含PFAS。</t>
        </is>
      </c>
    </row>
    <row r="827">
      <c r="A827" t="inlineStr"/>
      <c r="B827" t="inlineStr"/>
      <c r="C827" t="inlineStr">
        <is>
          <t>ACCESSORIES</t>
        </is>
      </c>
      <c r="D827">
        <f>U827</f>
        <v/>
      </c>
      <c r="E827" t="n">
        <v>1134134</v>
      </c>
      <c r="F827" t="inlineStr">
        <is>
          <t>O.D. MAINTENANCE WASH-IN WATER REPELLENT 300ML</t>
        </is>
      </c>
      <c r="H827" t="inlineStr">
        <is>
          <t>現場樣品</t>
        </is>
      </c>
      <c r="J827" t="n">
        <v>790</v>
      </c>
      <c r="K827" t="inlineStr">
        <is>
          <t>◎ 容量：300ml。
◎ 環保浸泡型撥水劑，不含PFAS，具有優異的防撥水及防油性。</t>
        </is>
      </c>
    </row>
    <row r="828">
      <c r="A828" t="inlineStr"/>
      <c r="B828" t="inlineStr"/>
      <c r="C828" t="inlineStr">
        <is>
          <t>ACCESSORIES</t>
        </is>
      </c>
      <c r="D828">
        <f>U828</f>
        <v/>
      </c>
      <c r="E828" t="n">
        <v>1124806</v>
      </c>
      <c r="F828" t="inlineStr">
        <is>
          <t>REPAIR PATCH</t>
        </is>
      </c>
      <c r="J828" t="n">
        <v>400</v>
      </c>
      <c r="K828" t="inlineStr">
        <is>
          <t>◎ 尺寸：一組6片，3x5cm四張、4x6.5cm兩張。
◎ 半透明的織品修補片，具有優異的彈性及黏合性。</t>
        </is>
      </c>
    </row>
    <row r="829">
      <c r="A829" t="inlineStr"/>
      <c r="B829" t="inlineStr"/>
      <c r="C829" t="inlineStr">
        <is>
          <t>ACCESSORIES</t>
        </is>
      </c>
      <c r="D829">
        <f>U829</f>
        <v/>
      </c>
      <c r="E829" t="n">
        <v>1124248</v>
      </c>
      <c r="F829" t="inlineStr">
        <is>
          <t>REPAIR SHEET</t>
        </is>
      </c>
      <c r="J829" t="n">
        <v>360</v>
      </c>
      <c r="K829" t="inlineStr">
        <is>
          <t>◎ 尺寸：15x15cm。
◎ 半透明的織品修補片，具有優異的彈性及黏合性。</t>
        </is>
      </c>
    </row>
    <row r="830">
      <c r="A830" t="inlineStr"/>
      <c r="B830" t="inlineStr"/>
      <c r="C830" t="inlineStr">
        <is>
          <t>ACCESSORIES</t>
        </is>
      </c>
      <c r="D830">
        <f>U830</f>
        <v/>
      </c>
      <c r="E830" t="n">
        <v>1124718</v>
      </c>
      <c r="F830" t="inlineStr">
        <is>
          <t>ROCKS ZIPPER PULL</t>
        </is>
      </c>
      <c r="G830" t="inlineStr">
        <is>
          <t>BK      MALD      OG      SV</t>
        </is>
      </c>
      <c r="H830" t="inlineStr">
        <is>
          <t>OG      MALD</t>
        </is>
      </c>
      <c r="J830" t="n">
        <v>240</v>
      </c>
      <c r="K830" t="inlineStr">
        <is>
          <t>◎ 60mm，3件一組。
◎ 方形鋁製拉鍊，衣服或背包皆可搭配，即使帶著手套也方便使用。</t>
        </is>
      </c>
    </row>
    <row r="831">
      <c r="A831" t="inlineStr"/>
      <c r="B831" t="inlineStr"/>
      <c r="C831" t="inlineStr">
        <is>
          <t>ACCESSORIES</t>
        </is>
      </c>
      <c r="D831">
        <f>U831</f>
        <v/>
      </c>
      <c r="E831" t="n">
        <v>1134180</v>
      </c>
      <c r="F831" t="inlineStr">
        <is>
          <t>ROUND TREKKING BELL</t>
        </is>
      </c>
      <c r="G831" t="inlineStr">
        <is>
          <t>BK      BL      RD      WT      YL</t>
        </is>
      </c>
      <c r="H831" t="inlineStr">
        <is>
          <t>RD      YL</t>
        </is>
      </c>
      <c r="J831" t="n">
        <v>330</v>
      </c>
      <c r="K831" t="inlineStr">
        <is>
          <t>◎ 主體：鋼、鉤環：鋁。
◎ 尺寸：26 x 50mm（鉤環） / Φ38mm（鈴鐺）。</t>
        </is>
      </c>
    </row>
    <row r="832">
      <c r="A832" t="inlineStr"/>
      <c r="B832" t="inlineStr"/>
      <c r="C832" t="inlineStr">
        <is>
          <t>ACCESSORIES</t>
        </is>
      </c>
      <c r="D832">
        <f>U832</f>
        <v/>
      </c>
      <c r="E832" t="n">
        <v>1134179</v>
      </c>
      <c r="F832" t="inlineStr">
        <is>
          <t>ROUND TREKKING BELL MONTA BEAR</t>
        </is>
      </c>
      <c r="G832" t="inlineStr">
        <is>
          <t>BK</t>
        </is>
      </c>
      <c r="H832" t="inlineStr">
        <is>
          <t>BK</t>
        </is>
      </c>
      <c r="J832" t="n">
        <v>360</v>
      </c>
      <c r="K832" t="inlineStr">
        <is>
          <t>◎ 主體：鋼、鉤環：鋁。經典蒙塔熊外型圓形熊鈴。
◎ 尺寸：26 x 50mm（鉤環） / Φ38mm（鈴鐺）。</t>
        </is>
      </c>
    </row>
    <row r="833">
      <c r="A833" t="inlineStr"/>
      <c r="B833" t="inlineStr"/>
      <c r="C833" t="inlineStr">
        <is>
          <t>ACCESSORIES</t>
        </is>
      </c>
      <c r="D833">
        <f>U833</f>
        <v/>
      </c>
      <c r="E833" t="n">
        <v>1134337</v>
      </c>
      <c r="F833" t="inlineStr">
        <is>
          <t>ROUND TREKKING BELL SILENCER</t>
        </is>
      </c>
      <c r="G833" t="inlineStr">
        <is>
          <t>DGY</t>
        </is>
      </c>
      <c r="H833" t="inlineStr">
        <is>
          <t>DGY</t>
        </is>
      </c>
      <c r="J833" t="n">
        <v>160</v>
      </c>
      <c r="K833" t="inlineStr">
        <is>
          <t>◎ 材質：彈性聚丙烯+磁鐵。可拆卸磁鐵消音器。</t>
        </is>
      </c>
    </row>
    <row r="834">
      <c r="A834" t="inlineStr"/>
      <c r="B834" t="inlineStr"/>
      <c r="C834" t="inlineStr">
        <is>
          <t>ACCESSORIES</t>
        </is>
      </c>
      <c r="D834">
        <f>U834</f>
        <v/>
      </c>
      <c r="E834" t="n">
        <v>1134182</v>
      </c>
      <c r="F834" t="inlineStr">
        <is>
          <t>ROUND TREKKING BELL WITH SILENCER</t>
        </is>
      </c>
      <c r="G834" t="inlineStr">
        <is>
          <t>BRS</t>
        </is>
      </c>
      <c r="J834" t="n">
        <v>700</v>
      </c>
      <c r="K834" t="inlineStr">
        <is>
          <t>◎ 重量：90g、尺寸：26×50mm（鉤環），Φ37mm（鈴鐺）。
◎ 主體：鋼、鉤環：鋁。具靜音功能的圓形熊鈴。</t>
        </is>
      </c>
    </row>
    <row r="835">
      <c r="A835" t="inlineStr"/>
      <c r="B835" t="inlineStr"/>
      <c r="C835" t="inlineStr">
        <is>
          <t>ACCESSORIES</t>
        </is>
      </c>
      <c r="D835">
        <f>U835</f>
        <v/>
      </c>
      <c r="E835" t="n">
        <v>1124841</v>
      </c>
      <c r="F835" t="inlineStr">
        <is>
          <t>SAFETY REFLECTOR FUKUROU</t>
        </is>
      </c>
      <c r="G835" t="inlineStr">
        <is>
          <t>BGD</t>
        </is>
      </c>
      <c r="H835" t="inlineStr">
        <is>
          <t>BGD</t>
        </is>
      </c>
      <c r="J835" t="n">
        <v>230</v>
      </c>
      <c r="K835" t="inlineStr">
        <is>
          <t>◎雙面高亮度反光片，夜間可見
◎材質：高亮度稜鏡反射材料，附球鏈
◎尺寸：54×44mm
◎可視距離：汽車近光燈：約150m，遠光燈：約250m</t>
        </is>
      </c>
    </row>
    <row r="836">
      <c r="A836" t="inlineStr"/>
      <c r="B836" t="inlineStr"/>
      <c r="C836" t="inlineStr">
        <is>
          <t>ACCESSORIES</t>
        </is>
      </c>
      <c r="D836">
        <f>U836</f>
        <v/>
      </c>
      <c r="E836" t="n">
        <v>1124844</v>
      </c>
      <c r="F836" t="inlineStr">
        <is>
          <t>SAFETY REFLECTOR ICE AXE</t>
        </is>
      </c>
      <c r="G836" t="inlineStr">
        <is>
          <t>SKGY</t>
        </is>
      </c>
      <c r="H836" t="inlineStr">
        <is>
          <t>SKGY</t>
        </is>
      </c>
      <c r="J836" t="n">
        <v>280</v>
      </c>
      <c r="K836" t="inlineStr">
        <is>
          <t>◎雙面高亮度反光片，夜間可見
◎材質：高亮度稜鏡反射材料，附球鏈
◎尺寸：89×53mm
◎可視距離：汽車近光燈：約150m，遠光燈：約250m</t>
        </is>
      </c>
    </row>
    <row r="837">
      <c r="A837" t="inlineStr"/>
      <c r="B837" t="inlineStr"/>
      <c r="C837" t="inlineStr">
        <is>
          <t>ACCESSORIES</t>
        </is>
      </c>
      <c r="D837">
        <f>U837</f>
        <v/>
      </c>
      <c r="E837" t="n">
        <v>1124840</v>
      </c>
      <c r="F837" t="inlineStr">
        <is>
          <t>SAFETY REFLECTOR KUMA</t>
        </is>
      </c>
      <c r="G837" t="inlineStr">
        <is>
          <t>TN</t>
        </is>
      </c>
      <c r="H837" t="inlineStr">
        <is>
          <t>TN</t>
        </is>
      </c>
      <c r="J837" t="n">
        <v>230</v>
      </c>
      <c r="K837" t="inlineStr">
        <is>
          <t>◎雙面高亮度反光片，夜間可見
◎材質：高亮度稜鏡反射材料，附球鏈
◎尺寸：73×40mm
◎可視距離：汽車近光燈：約150m，遠光燈：約250m</t>
        </is>
      </c>
    </row>
    <row r="838">
      <c r="A838" t="inlineStr"/>
      <c r="B838" t="inlineStr"/>
      <c r="C838" t="inlineStr">
        <is>
          <t>ACCESSORIES</t>
        </is>
      </c>
      <c r="D838">
        <f>U838</f>
        <v/>
      </c>
      <c r="E838" t="n">
        <v>1134150</v>
      </c>
      <c r="F838" t="inlineStr">
        <is>
          <t>SAFETY REFLECTOR LEAF</t>
        </is>
      </c>
      <c r="G838" t="inlineStr">
        <is>
          <t>GN</t>
        </is>
      </c>
      <c r="J838" t="n">
        <v>280</v>
      </c>
      <c r="K838" t="inlineStr">
        <is>
          <t>◎雙面高亮度反光片，夜間可見
◎材質：高亮度稜鏡反射材料，附球鏈
◎尺寸：55 x 55mm
◎可視距離：汽車近光燈：約150m，遠光燈：約250m</t>
        </is>
      </c>
    </row>
    <row r="839">
      <c r="A839" t="inlineStr"/>
      <c r="B839" t="inlineStr"/>
      <c r="C839" t="inlineStr">
        <is>
          <t>ACCESSORIES</t>
        </is>
      </c>
      <c r="D839">
        <f>U839</f>
        <v/>
      </c>
      <c r="E839" t="n">
        <v>1134146</v>
      </c>
      <c r="F839" t="inlineStr">
        <is>
          <t>SAFETY REFLECTOR MONTA BEAR</t>
        </is>
      </c>
      <c r="G839" t="inlineStr">
        <is>
          <t>BK</t>
        </is>
      </c>
      <c r="H839" t="inlineStr">
        <is>
          <t>BK</t>
        </is>
      </c>
      <c r="J839" t="n">
        <v>280</v>
      </c>
      <c r="K839" t="inlineStr">
        <is>
          <t>◎ 重量：6g、尺寸：50×40mm。
◎ 反光的造型鑰匙圈。</t>
        </is>
      </c>
    </row>
    <row r="840">
      <c r="A840" t="inlineStr"/>
      <c r="B840" t="inlineStr"/>
      <c r="C840" t="inlineStr">
        <is>
          <t>ACCESSORIES</t>
        </is>
      </c>
      <c r="D840">
        <f>U840</f>
        <v/>
      </c>
      <c r="E840" t="n">
        <v>1124843</v>
      </c>
      <c r="F840" t="inlineStr">
        <is>
          <t>SAFETY REFLECTOR OVAL LOGO</t>
        </is>
      </c>
      <c r="G840" t="inlineStr">
        <is>
          <t>WT</t>
        </is>
      </c>
      <c r="H840" t="inlineStr">
        <is>
          <t>WT</t>
        </is>
      </c>
      <c r="J840" t="n">
        <v>230</v>
      </c>
      <c r="K840" t="inlineStr">
        <is>
          <t>◎雙面高亮度反光片，夜間可見
◎材質：高亮度稜鏡反射材料，附球鏈
◎尺寸：88×31mm
◎可視距離：汽車近光燈：約150m，遠光燈：約250m</t>
        </is>
      </c>
    </row>
    <row r="841">
      <c r="A841" t="inlineStr"/>
      <c r="B841" t="inlineStr"/>
      <c r="C841" t="inlineStr">
        <is>
          <t>ACCESSORIES</t>
        </is>
      </c>
      <c r="D841">
        <f>U841</f>
        <v/>
      </c>
      <c r="E841" t="n">
        <v>1124842</v>
      </c>
      <c r="F841" t="inlineStr">
        <is>
          <t>SAFETY REFLECTOR TREKKING BOOT</t>
        </is>
      </c>
      <c r="G841" t="inlineStr">
        <is>
          <t>OGRD</t>
        </is>
      </c>
      <c r="H841" t="inlineStr">
        <is>
          <t>OGRD</t>
        </is>
      </c>
      <c r="J841" t="n">
        <v>280</v>
      </c>
      <c r="K841" t="inlineStr">
        <is>
          <t>◎雙面高亮度反光片，夜間可見
◎材質：高亮度稜鏡反射材料，附球鏈
◎尺寸：54×67mm
◎可視距離：汽車近光燈：約150m，遠光燈：約250m</t>
        </is>
      </c>
    </row>
    <row r="842">
      <c r="A842" t="inlineStr"/>
      <c r="B842" t="inlineStr"/>
      <c r="C842" t="inlineStr">
        <is>
          <t>ACCESSORIES</t>
        </is>
      </c>
      <c r="D842">
        <f>U842</f>
        <v/>
      </c>
      <c r="E842" t="n">
        <v>1134335</v>
      </c>
      <c r="F842" t="inlineStr">
        <is>
          <t>SILICONE GRIP TAPE</t>
        </is>
      </c>
      <c r="G842" t="inlineStr">
        <is>
          <t>BK      CLER</t>
        </is>
      </c>
      <c r="H842" t="inlineStr">
        <is>
          <t>CLER</t>
        </is>
      </c>
      <c r="J842" t="n">
        <v>320</v>
      </c>
      <c r="K842" t="inlineStr">
        <is>
          <t>◎尺寸：厚0.8mm x 寬25mm x 長度2m。伸縮率：600%、耐熱溫度：-45~220∘C。
◎ 防水防滑膠帶，可暫時固定斷裂的登山杖、冰斧。</t>
        </is>
      </c>
    </row>
    <row r="843">
      <c r="A843" t="inlineStr"/>
      <c r="B843" t="inlineStr"/>
      <c r="C843" t="inlineStr">
        <is>
          <t>ACCESSORIES</t>
        </is>
      </c>
      <c r="D843">
        <f>U843</f>
        <v/>
      </c>
      <c r="E843" t="n">
        <v>1134331</v>
      </c>
      <c r="F843" t="inlineStr">
        <is>
          <t>SQUARE TREKKING BELL WITH SILENCER</t>
        </is>
      </c>
      <c r="G843" t="inlineStr">
        <is>
          <t>BGN      GN      OG      PK      WT</t>
        </is>
      </c>
      <c r="H843" t="inlineStr">
        <is>
          <t>PK      GN</t>
        </is>
      </c>
      <c r="J843" t="n">
        <v>470</v>
      </c>
      <c r="K843" t="inlineStr">
        <is>
          <t>◎ 重量：44g、尺寸：26×50mm。
◎ 主體：鋼、鉤環：鋁。具靜音功能的方形熊鈴。</t>
        </is>
      </c>
    </row>
    <row r="844">
      <c r="A844" t="inlineStr"/>
      <c r="B844" t="inlineStr"/>
      <c r="C844" t="inlineStr">
        <is>
          <t>ACCESSORIES</t>
        </is>
      </c>
      <c r="D844">
        <f>U844</f>
        <v/>
      </c>
      <c r="E844" t="n">
        <v>1134332</v>
      </c>
      <c r="F844" t="inlineStr">
        <is>
          <t>SQUARE TREKKING BELL WITH SILENCER MONTA BEAR</t>
        </is>
      </c>
      <c r="G844" t="inlineStr">
        <is>
          <t>BK</t>
        </is>
      </c>
      <c r="H844" t="inlineStr">
        <is>
          <t>BK</t>
        </is>
      </c>
      <c r="J844" t="n">
        <v>470</v>
      </c>
      <c r="K844" t="inlineStr">
        <is>
          <t>◎重量：44g、尺寸：26×50mm。
◎ 主體：鋼、鉤環：鋁。具靜音功能的經典蒙塔熊外型方形熊鈴。</t>
        </is>
      </c>
    </row>
    <row r="845">
      <c r="A845" t="inlineStr"/>
      <c r="B845" t="inlineStr"/>
      <c r="C845" t="inlineStr">
        <is>
          <t>ACCESSORIES</t>
        </is>
      </c>
      <c r="D845">
        <f>U845</f>
        <v/>
      </c>
      <c r="E845" t="n">
        <v>1124184</v>
      </c>
      <c r="F845" t="inlineStr">
        <is>
          <t>STAINLESS MIRROR</t>
        </is>
      </c>
      <c r="J845" t="n">
        <v>690</v>
      </c>
      <c r="K845" t="inlineStr">
        <is>
          <t>◎ 尺寸：5.5x8.5cm。
◎ 材質：不銹鋼，攜帶式鏡子。</t>
        </is>
      </c>
    </row>
    <row r="846">
      <c r="A846" t="inlineStr"/>
      <c r="B846" t="inlineStr"/>
      <c r="C846" t="inlineStr">
        <is>
          <t>ACCESSORIES</t>
        </is>
      </c>
      <c r="D846">
        <f>U846</f>
        <v/>
      </c>
      <c r="E846" t="n">
        <v>1124789</v>
      </c>
      <c r="F846" t="inlineStr">
        <is>
          <t>STRAP MONTA BEAR #1</t>
        </is>
      </c>
      <c r="H846" t="inlineStr">
        <is>
          <t>現場樣品</t>
        </is>
      </c>
      <c r="J846" t="n">
        <v>290</v>
      </c>
      <c r="K846" t="inlineStr">
        <is>
          <t>◎ 重量：15g、尺寸：9x10cm。
◎ mont-bell經典玩偶熊吊飾。</t>
        </is>
      </c>
    </row>
    <row r="847">
      <c r="A847" t="inlineStr"/>
      <c r="B847" t="inlineStr"/>
      <c r="C847" t="inlineStr">
        <is>
          <t>ACCESSORIES</t>
        </is>
      </c>
      <c r="D847">
        <f>U847</f>
        <v/>
      </c>
      <c r="E847" t="n">
        <v>1134132</v>
      </c>
      <c r="F847" t="inlineStr">
        <is>
          <t>STRAP MONTA BEAR #2</t>
        </is>
      </c>
      <c r="G847" t="inlineStr">
        <is>
          <t>BL      OG</t>
        </is>
      </c>
      <c r="H847" t="inlineStr">
        <is>
          <t>OG</t>
        </is>
      </c>
      <c r="J847" t="n">
        <v>330</v>
      </c>
      <c r="K847" t="inlineStr">
        <is>
          <t>◎ 重量：15g、尺寸：9x10cm。
◎ mont-bell經典玩偶熊吊飾。</t>
        </is>
      </c>
    </row>
    <row r="848">
      <c r="A848" t="inlineStr"/>
      <c r="B848" t="inlineStr"/>
      <c r="C848" t="inlineStr">
        <is>
          <t>ACCESSORIES</t>
        </is>
      </c>
      <c r="D848">
        <f>U848</f>
        <v/>
      </c>
      <c r="E848" t="n">
        <v>1134295</v>
      </c>
      <c r="F848" t="inlineStr">
        <is>
          <t>STRAP MONTA BEAR #3</t>
        </is>
      </c>
      <c r="G848" t="inlineStr">
        <is>
          <t>BK</t>
        </is>
      </c>
      <c r="H848" t="inlineStr">
        <is>
          <t>BK</t>
        </is>
      </c>
      <c r="J848" t="n">
        <v>400</v>
      </c>
      <c r="K848" t="inlineStr">
        <is>
          <t>◎ 重量：14g、尺寸：10x9cm。
◎ mont-bell經典玩偶熊吊飾。</t>
        </is>
      </c>
    </row>
    <row r="849">
      <c r="A849" t="inlineStr"/>
      <c r="B849" t="inlineStr"/>
      <c r="C849" t="inlineStr">
        <is>
          <t>ACCESSORIES</t>
        </is>
      </c>
      <c r="D849">
        <f>U849</f>
        <v/>
      </c>
      <c r="E849" t="n">
        <v>1134296</v>
      </c>
      <c r="F849" t="inlineStr">
        <is>
          <t>STRAP MONTA BEAR #4</t>
        </is>
      </c>
      <c r="G849" t="inlineStr">
        <is>
          <t>BL1      GN      PU      YL</t>
        </is>
      </c>
      <c r="H849" t="inlineStr">
        <is>
          <t>YL</t>
        </is>
      </c>
      <c r="J849" t="n">
        <v>400</v>
      </c>
      <c r="K849" t="inlineStr">
        <is>
          <t>◎ 重量：14g、尺寸：10x9cm。
◎ mont-bell經典玩偶熊吊飾。</t>
        </is>
      </c>
    </row>
    <row r="850">
      <c r="A850" t="inlineStr"/>
      <c r="B850" t="inlineStr"/>
      <c r="C850" t="inlineStr">
        <is>
          <t>ACCESSORIES</t>
        </is>
      </c>
      <c r="D850">
        <f>U850</f>
        <v/>
      </c>
      <c r="E850" t="n">
        <v>1124866</v>
      </c>
      <c r="F850" t="inlineStr">
        <is>
          <t>TITANIUM KEY CARABINER #1</t>
        </is>
      </c>
      <c r="G850" t="inlineStr">
        <is>
          <t>NT</t>
        </is>
      </c>
      <c r="H850" t="inlineStr">
        <is>
          <t>NT</t>
        </is>
      </c>
      <c r="J850" t="n">
        <v>480</v>
      </c>
      <c r="K850" t="inlineStr">
        <is>
          <t>◎ 重量：5g、尺寸(鐵鉤)：15x36x4mm、直徑(環)：18mm。
◎ 材質：鈦，快扣式小鉤環配件。</t>
        </is>
      </c>
    </row>
    <row r="851">
      <c r="A851" t="inlineStr"/>
      <c r="B851" t="inlineStr"/>
      <c r="C851" t="inlineStr">
        <is>
          <t>ACCESSORIES</t>
        </is>
      </c>
      <c r="D851">
        <f>U851</f>
        <v/>
      </c>
      <c r="E851" t="n">
        <v>1124867</v>
      </c>
      <c r="F851" t="inlineStr">
        <is>
          <t>TITANIUM KEY CARABINER #2</t>
        </is>
      </c>
      <c r="G851" t="inlineStr">
        <is>
          <t>NT</t>
        </is>
      </c>
      <c r="H851" t="inlineStr">
        <is>
          <t>NT</t>
        </is>
      </c>
      <c r="J851" t="n">
        <v>560</v>
      </c>
      <c r="K851" t="inlineStr">
        <is>
          <t>◎ 重量：7g、尺寸(鐵鉤)：18x44x4mm、直徑(環)：24mm。
◎ 材質：鈦，快扣式小鉤環配件。</t>
        </is>
      </c>
    </row>
    <row r="852">
      <c r="A852" t="inlineStr"/>
      <c r="B852" t="inlineStr"/>
      <c r="C852" t="inlineStr">
        <is>
          <t>ACCESSORIES</t>
        </is>
      </c>
      <c r="D852">
        <f>U852</f>
        <v/>
      </c>
      <c r="E852" t="n">
        <v>1124928</v>
      </c>
      <c r="F852" t="inlineStr">
        <is>
          <t>TREKKING BELL WITH SILENCER</t>
        </is>
      </c>
      <c r="G852" t="inlineStr">
        <is>
          <t>BRS/S</t>
        </is>
      </c>
      <c r="H852" t="inlineStr">
        <is>
          <t>BRS/S</t>
        </is>
      </c>
      <c r="J852" t="n">
        <v>740</v>
      </c>
      <c r="K852" t="inlineStr">
        <is>
          <t>◎ 重量：43g、鉤環：26×50mm、鈴鐺：Φ32×34mm。
◎ 材質：鋁合金，快扣式小鉤環。附黃銅鈴鐺。</t>
        </is>
      </c>
    </row>
    <row r="853">
      <c r="A853" t="inlineStr"/>
      <c r="B853" t="inlineStr"/>
      <c r="C853" t="inlineStr">
        <is>
          <t>ACCESSORIES</t>
        </is>
      </c>
      <c r="D853">
        <f>U853</f>
        <v/>
      </c>
      <c r="E853" t="n">
        <v>1134137</v>
      </c>
      <c r="F853" t="inlineStr">
        <is>
          <t>TS COMBINATION LOCK</t>
        </is>
      </c>
      <c r="G853" t="inlineStr">
        <is>
          <t>BK      RD</t>
        </is>
      </c>
      <c r="J853" t="n">
        <v>300</v>
      </c>
      <c r="K853" t="inlineStr">
        <is>
          <t>◎ 重量：27g、尺寸：6.3×3.2×1.4cm。
◎ 輕量堅固的TSA海關密碼鎖，開啟密碼可自行設定。</t>
        </is>
      </c>
    </row>
    <row r="854">
      <c r="A854" t="inlineStr"/>
      <c r="B854" t="inlineStr"/>
      <c r="C854" t="inlineStr">
        <is>
          <t>ACCESSORIES</t>
        </is>
      </c>
      <c r="D854">
        <f>U854</f>
        <v/>
      </c>
      <c r="E854" t="n">
        <v>1134298</v>
      </c>
      <c r="F854" t="inlineStr">
        <is>
          <t>WHISTLE CHEST STRAP 15MM</t>
        </is>
      </c>
      <c r="G854" t="inlineStr">
        <is>
          <t>BK</t>
        </is>
      </c>
      <c r="J854" t="n">
        <v>270</v>
      </c>
      <c r="K854" t="inlineStr">
        <is>
          <t>◎ 織帶寬度：15mm。
◎ 材質：尼龍。
◎ 附有哨子的背包胸扣帶。</t>
        </is>
      </c>
    </row>
    <row r="855">
      <c r="A855" t="inlineStr"/>
      <c r="B855" t="inlineStr"/>
      <c r="C855" t="inlineStr">
        <is>
          <t>ACCESSORIES</t>
        </is>
      </c>
      <c r="D855">
        <f>U855</f>
        <v/>
      </c>
      <c r="E855" t="n">
        <v>1124799</v>
      </c>
      <c r="F855" t="inlineStr">
        <is>
          <t>ZIPPER PULL GLOW IN THE DARK</t>
        </is>
      </c>
      <c r="J855" t="n">
        <v>220</v>
      </c>
      <c r="K855" t="inlineStr">
        <is>
          <t>◎ 55mm。
◎ 夜光拉鍊拉繩配件，一包五入。</t>
        </is>
      </c>
    </row>
    <row r="856">
      <c r="A856" t="inlineStr"/>
      <c r="B856" t="inlineStr"/>
      <c r="C856" t="inlineStr">
        <is>
          <t>ACCESSORIES</t>
        </is>
      </c>
      <c r="D856">
        <f>U856</f>
        <v/>
      </c>
      <c r="E856" t="n">
        <v>1134410</v>
      </c>
      <c r="F856" t="inlineStr">
        <is>
          <t>ZIPPER PULL L</t>
        </is>
      </c>
      <c r="G856" t="inlineStr">
        <is>
          <t>BK      BL      GN      GY      OG      RD      YL</t>
        </is>
      </c>
      <c r="J856" t="n">
        <v>250</v>
      </c>
      <c r="K856" t="inlineStr">
        <is>
          <t>◎ 55mm。
◎ 拉鍊拉繩配件，一包五入。</t>
        </is>
      </c>
    </row>
    <row r="857">
      <c r="A857" t="inlineStr"/>
      <c r="B857" t="inlineStr"/>
      <c r="C857" t="inlineStr">
        <is>
          <t>ACCESSORIES</t>
        </is>
      </c>
      <c r="D857">
        <f>U857</f>
        <v/>
      </c>
      <c r="E857" t="n">
        <v>1124583</v>
      </c>
      <c r="F857" t="inlineStr">
        <is>
          <t>ZIPPER PULL M</t>
        </is>
      </c>
      <c r="G857" t="inlineStr">
        <is>
          <t>BK      FOG      GY      LEGN      PRBL      RD      SUF</t>
        </is>
      </c>
      <c r="J857" t="n">
        <v>200</v>
      </c>
      <c r="K857" t="inlineStr">
        <is>
          <t>◎ 55mm。
◎ 拉鍊拉繩配件，一包五入。</t>
        </is>
      </c>
    </row>
    <row r="858">
      <c r="A858" t="inlineStr"/>
      <c r="B858" t="inlineStr"/>
      <c r="C858" t="inlineStr">
        <is>
          <t>ACCESSORIES</t>
        </is>
      </c>
      <c r="D858">
        <f>U858</f>
        <v/>
      </c>
      <c r="E858" t="n">
        <v>1124582</v>
      </c>
      <c r="F858" t="inlineStr">
        <is>
          <t>ZIPPER PULL S</t>
        </is>
      </c>
      <c r="G858" t="inlineStr">
        <is>
          <t>BK      FOG      GY      LEGN      PRBL      RD      SUF</t>
        </is>
      </c>
      <c r="J858" t="n">
        <v>180</v>
      </c>
      <c r="K858" t="inlineStr">
        <is>
          <t>◎ 50mm。
◎ 拉鍊拉繩配件，一包五入。</t>
        </is>
      </c>
    </row>
    <row r="859">
      <c r="A859" t="inlineStr"/>
      <c r="B859" t="inlineStr"/>
      <c r="C859" t="inlineStr">
        <is>
          <t>BACKPACK</t>
        </is>
      </c>
      <c r="D859">
        <f>U859</f>
        <v/>
      </c>
      <c r="E859" t="n">
        <v>1133465</v>
      </c>
      <c r="F859" t="inlineStr">
        <is>
          <t>ALTIPLANO PACK 20</t>
        </is>
      </c>
      <c r="G859" t="inlineStr">
        <is>
          <t>BGN      LGY      RD</t>
        </is>
      </c>
      <c r="H859" t="inlineStr">
        <is>
          <t>RD</t>
        </is>
      </c>
      <c r="J859" t="n">
        <v>3780</v>
      </c>
      <c r="K859" t="inlineStr">
        <is>
          <t>◎ 20L（高50×寬26×深16cm）、背長：48cm、重量：452g。
◎ 主體：30D Ballistic®抗撕裂尼龍（聚氨酯塗層），底部：100D Ballistic®抗撕裂尼龍（聚氨酯塗層），背部使用3D MESH材質。內附防水袋：40D抗撕裂尼龍（聚氨酯塗層）。</t>
        </is>
      </c>
    </row>
    <row r="860">
      <c r="A860" t="inlineStr"/>
      <c r="B860" t="inlineStr"/>
      <c r="C860" t="inlineStr">
        <is>
          <t>BACKPACK</t>
        </is>
      </c>
      <c r="D860">
        <f>U860</f>
        <v/>
      </c>
      <c r="E860" t="n">
        <v>1133466</v>
      </c>
      <c r="F860" t="inlineStr">
        <is>
          <t>ALTIPLANO PACK 30</t>
        </is>
      </c>
      <c r="G860" t="inlineStr">
        <is>
          <t>BGN      LGY      RD</t>
        </is>
      </c>
      <c r="H860" t="inlineStr">
        <is>
          <t>BGN</t>
        </is>
      </c>
      <c r="J860" t="n">
        <v>5080</v>
      </c>
      <c r="K860" t="inlineStr">
        <is>
          <t>◎ 30L（高57×寬30×深18cm）、背長：53cm、重量：548g。
◎ 主體：30D Ballistic®抗撕裂尼龍（聚氨酯塗層），底部：100D Ballistic®抗撕裂尼龍（聚氨酯塗層），背部使用3D MESH材質。內附防水袋：40D抗撕裂尼龍（聚氨酯塗層）。</t>
        </is>
      </c>
    </row>
    <row r="861">
      <c r="A861" t="inlineStr"/>
      <c r="B861" t="inlineStr"/>
      <c r="C861" t="inlineStr">
        <is>
          <t>BACKPACK</t>
        </is>
      </c>
      <c r="D861">
        <f>U861</f>
        <v/>
      </c>
      <c r="E861" t="n">
        <v>1123903</v>
      </c>
      <c r="F861" t="inlineStr">
        <is>
          <t>BERNINA PACK 10</t>
        </is>
      </c>
      <c r="G861" t="inlineStr">
        <is>
          <t>BK25      IV      NV      PK</t>
        </is>
      </c>
      <c r="H861" t="inlineStr">
        <is>
          <t>BK25</t>
        </is>
      </c>
      <c r="J861" t="n">
        <v>2100</v>
      </c>
      <c r="K861" t="inlineStr">
        <is>
          <t>◎ 10L（高41×寬32×深10cm，A4大小）、背長：39cm、重量：340g。
◎ 表布：420D Ballistic®抗撕裂表布（聚氨酯塗層）。內裡：70D尼龍防撕裂布。
◎ 都會型的後背包，大開口方便取物，內有簡單隔間置物。</t>
        </is>
      </c>
    </row>
    <row r="862">
      <c r="A862" t="inlineStr"/>
      <c r="B862" t="inlineStr"/>
      <c r="C862" t="inlineStr">
        <is>
          <t>BACKPACK</t>
        </is>
      </c>
      <c r="D862">
        <f>U862</f>
        <v/>
      </c>
      <c r="E862" t="n">
        <v>1123904</v>
      </c>
      <c r="F862" t="inlineStr">
        <is>
          <t>BERNINA PACK 15</t>
        </is>
      </c>
      <c r="G862" t="inlineStr">
        <is>
          <t>BK25      KH      NV</t>
        </is>
      </c>
      <c r="H862" t="inlineStr">
        <is>
          <t>BK25</t>
        </is>
      </c>
      <c r="J862" t="n">
        <v>2580</v>
      </c>
      <c r="K862" t="inlineStr">
        <is>
          <t>◎ 15L（高47×寬38×深15cm，B4大小）、背長：45cm、重量：395g。
◎ 表布：420D Ballistic®抗撕裂表布（聚氨酯塗層）。內裡：70D尼龍防撕裂布。
◎ 都會型的後背包，大開口方便取物，內有簡單隔間置物。</t>
        </is>
      </c>
    </row>
    <row r="863">
      <c r="A863" t="inlineStr"/>
      <c r="B863" t="inlineStr"/>
      <c r="C863" t="inlineStr">
        <is>
          <t>BACKPACK</t>
        </is>
      </c>
      <c r="D863">
        <f>U863</f>
        <v/>
      </c>
      <c r="E863" t="n">
        <v>1133512</v>
      </c>
      <c r="F863" t="inlineStr">
        <is>
          <t>CHA-CHA PACK 30</t>
        </is>
      </c>
      <c r="G863" t="inlineStr">
        <is>
          <t>BGN      LGY      WRD</t>
        </is>
      </c>
      <c r="J863" t="n">
        <v>7350</v>
      </c>
      <c r="K863" t="inlineStr">
        <is>
          <t>◎ 30L、背長可調節：49~57cm。
◎ 主體：100D Ballistic®抗撕裂表布（聚氨酯塗層），底部：210D Ballistic®抗撕裂表布（聚氨酯塗層）、內附防水袋。
◎ 背框 3mm不鏽鋼，頂蓋，頂蓋可拆卸。</t>
        </is>
      </c>
    </row>
    <row r="864">
      <c r="A864" t="inlineStr"/>
      <c r="B864" t="inlineStr"/>
      <c r="C864" t="inlineStr">
        <is>
          <t>BACKPACK</t>
        </is>
      </c>
      <c r="D864">
        <f>U864</f>
        <v/>
      </c>
      <c r="E864" t="n">
        <v>1133513</v>
      </c>
      <c r="F864" t="inlineStr">
        <is>
          <t>CHA-CHA PACK 30 WOMEN'S</t>
        </is>
      </c>
      <c r="G864" t="inlineStr">
        <is>
          <t>LBL      PU      TN</t>
        </is>
      </c>
      <c r="H864" t="inlineStr">
        <is>
          <t>TN</t>
        </is>
      </c>
      <c r="J864" t="n">
        <v>7350</v>
      </c>
      <c r="K864" t="inlineStr">
        <is>
          <t>◎ 30L、背長可調節：44~52cm。
◎ 主體：100D Ballistic®抗撕裂表布（聚氨酯塗層），底部：210D Ballistic®抗撕裂表布（聚氨酯塗層）、內附防水袋。
◎ 背框 3mm不鏽鋼，背型更適合女性身形。頂蓋，頂蓋可拆卸。</t>
        </is>
      </c>
    </row>
    <row r="865">
      <c r="A865" t="inlineStr"/>
      <c r="B865" t="inlineStr"/>
      <c r="C865" t="inlineStr">
        <is>
          <t>BACKPACK</t>
        </is>
      </c>
      <c r="D865">
        <f>U865</f>
        <v/>
      </c>
      <c r="E865" t="n">
        <v>1133514</v>
      </c>
      <c r="F865" t="inlineStr">
        <is>
          <t>CHA-CHA PACK 35</t>
        </is>
      </c>
      <c r="G865" t="inlineStr">
        <is>
          <t>BGN      DGN      WRD</t>
        </is>
      </c>
      <c r="H865" t="inlineStr">
        <is>
          <t>WRD</t>
        </is>
      </c>
      <c r="J865" t="n">
        <v>7660</v>
      </c>
      <c r="K865" t="inlineStr">
        <is>
          <t>◎ 35L、背長可調節：49~57cm、重量：1450g。
◎ 主體：100D Ballistic®抗撕裂表布（聚氨酯塗層），底部：210D Ballistic®抗撕裂表布（聚氨酯塗層）、內附防水袋。
◎ 背框 3mm不鏽鋼，頂蓋可拆卸。</t>
        </is>
      </c>
    </row>
    <row r="866">
      <c r="A866" t="inlineStr"/>
      <c r="B866" t="inlineStr"/>
      <c r="C866" t="inlineStr">
        <is>
          <t>BACKPACK</t>
        </is>
      </c>
      <c r="D866">
        <f>U866</f>
        <v/>
      </c>
      <c r="E866" t="n">
        <v>1133515</v>
      </c>
      <c r="F866" t="inlineStr">
        <is>
          <t>CHA-CHA PACK 35 WOMEN'S</t>
        </is>
      </c>
      <c r="G866" t="inlineStr">
        <is>
          <t>GY      TN</t>
        </is>
      </c>
      <c r="J866" t="n">
        <v>7660</v>
      </c>
      <c r="K866" t="inlineStr">
        <is>
          <t>◎ 35L、背長可調節：44~52cm、重量：1300g。
◎ 主體：100D Ballistic®抗撕裂表布（聚氨酯塗層），底部：210D Ballistic®抗撕裂表布（聚氨酯塗層）、內附防水袋。
◎ 背框 3mm不鏽鋼，背型更適合女性身形。，頂蓋可拆卸。</t>
        </is>
      </c>
    </row>
    <row r="867">
      <c r="A867" t="inlineStr"/>
      <c r="B867" t="inlineStr"/>
      <c r="C867" t="inlineStr">
        <is>
          <t>BACKPACK</t>
        </is>
      </c>
      <c r="D867">
        <f>U867</f>
        <v/>
      </c>
      <c r="E867" t="n">
        <v>1133516</v>
      </c>
      <c r="F867" t="inlineStr">
        <is>
          <t>CHA-CHA PACK 40</t>
        </is>
      </c>
      <c r="G867" t="inlineStr">
        <is>
          <t>BGN      DGN      LGY      WRD</t>
        </is>
      </c>
      <c r="J867" t="n">
        <v>7970</v>
      </c>
      <c r="K867" t="inlineStr">
        <is>
          <t>◎ 40L、背長可調節：49~57cm。
◎ 主體：100D Ballistic®抗撕裂表布（聚氨酯塗層），底部：210D Ballistic®抗撕裂表布（聚氨酯塗層）、內附防水袋。
◎ 背框 3mm不鏽鋼，頂蓋可拆卸。</t>
        </is>
      </c>
    </row>
    <row r="868">
      <c r="A868" t="inlineStr"/>
      <c r="B868" t="inlineStr"/>
      <c r="C868" t="inlineStr">
        <is>
          <t>BACKPACK</t>
        </is>
      </c>
      <c r="D868">
        <f>U868</f>
        <v/>
      </c>
      <c r="E868" t="n">
        <v>1133517</v>
      </c>
      <c r="F868" t="inlineStr">
        <is>
          <t>CHA-CHA PACK 40 WOMEN'S</t>
        </is>
      </c>
      <c r="G868" t="inlineStr">
        <is>
          <t>LBL      PU</t>
        </is>
      </c>
      <c r="H868" t="inlineStr">
        <is>
          <t>PU</t>
        </is>
      </c>
      <c r="J868" t="n">
        <v>7970</v>
      </c>
      <c r="K868" t="inlineStr">
        <is>
          <t>◎ 40L、背長可調節：44~52cm。
◎ 主體：100D Ballistic®抗撕裂表布（聚氨酯塗層），底部：210D Ballistic®抗撕裂表布（聚氨酯塗層）、內附防水袋。
◎ 背框 3mm不鏽鋼，背型更適合女性身形。頂蓋改為可拆卸。</t>
        </is>
      </c>
    </row>
    <row r="869">
      <c r="A869" t="inlineStr"/>
      <c r="B869" t="inlineStr"/>
      <c r="C869" t="inlineStr">
        <is>
          <t>BACKPACK</t>
        </is>
      </c>
      <c r="D869">
        <f>U869</f>
        <v/>
      </c>
      <c r="E869" t="n">
        <v>1133461</v>
      </c>
      <c r="F869" t="inlineStr">
        <is>
          <t>CROSS RUNNER PACK 15</t>
        </is>
      </c>
      <c r="G869" t="inlineStr">
        <is>
          <t>BL      DGY      LGY      YL</t>
        </is>
      </c>
      <c r="J869" t="n">
        <v>4140</v>
      </c>
      <c r="K869" t="inlineStr">
        <is>
          <t>◎ 重量：291g、容量：15L、背長：48cm。
◎ 材質：30D Ballistic®尼龍，聚氨酯塗層；背部：3D MESH網布。
◎ 輕量多隔間可快取物品的野跑背包。</t>
        </is>
      </c>
    </row>
    <row r="870">
      <c r="A870" t="inlineStr"/>
      <c r="B870" t="inlineStr"/>
      <c r="C870" t="inlineStr">
        <is>
          <t>BACKPACK</t>
        </is>
      </c>
      <c r="D870">
        <f>U870</f>
        <v/>
      </c>
      <c r="E870" t="n">
        <v>1133462</v>
      </c>
      <c r="F870" t="inlineStr">
        <is>
          <t>CROSS RUNNER PACK 15 WOMEN'S</t>
        </is>
      </c>
      <c r="G870" t="inlineStr">
        <is>
          <t>DGY      LBL      LGY</t>
        </is>
      </c>
      <c r="J870" t="n">
        <v>4070</v>
      </c>
      <c r="K870" t="inlineStr">
        <is>
          <t>◎ 重量：284g、容量：15L（高45 x 寬29 x 深14cm）、背長：45cm。
◎ 材質：30D Ballistic®尼龍，聚氨酯塗層；背部：3D MESH網布。
◎ 輕量多隔間可快取物品的野跑背包。</t>
        </is>
      </c>
    </row>
    <row r="871">
      <c r="A871" t="inlineStr"/>
      <c r="B871" t="inlineStr"/>
      <c r="C871" t="inlineStr">
        <is>
          <t>BACKPACK</t>
        </is>
      </c>
      <c r="D871">
        <f>U871</f>
        <v/>
      </c>
      <c r="E871" t="n">
        <v>1133463</v>
      </c>
      <c r="F871" t="inlineStr">
        <is>
          <t>CROSS RUNNER PACK 20</t>
        </is>
      </c>
      <c r="G871" t="inlineStr">
        <is>
          <t>BL      DGY      LGY</t>
        </is>
      </c>
      <c r="J871" t="n">
        <v>4540</v>
      </c>
      <c r="K871" t="inlineStr">
        <is>
          <t>◎ 重量：307g、容量：20L。
◎ 材質：30D Ballistic®尼龍，聚氨酯塗層；背部：3D MESH網布。
◎ 輕量多隔間可快取物品的野跑背包。</t>
        </is>
      </c>
    </row>
    <row r="872">
      <c r="A872" t="inlineStr"/>
      <c r="B872" t="inlineStr"/>
      <c r="C872" t="inlineStr">
        <is>
          <t>BACKPACK</t>
        </is>
      </c>
      <c r="D872">
        <f>U872</f>
        <v/>
      </c>
      <c r="E872" t="n">
        <v>1133464</v>
      </c>
      <c r="F872" t="inlineStr">
        <is>
          <t>CROSS RUNNER PACK 20 WOMEN'S</t>
        </is>
      </c>
      <c r="G872" t="inlineStr">
        <is>
          <t>DGY      LGY</t>
        </is>
      </c>
      <c r="J872" t="n">
        <v>4540</v>
      </c>
      <c r="K872" t="inlineStr">
        <is>
          <t>◎ 重量：289g、容量：20L（高46 x 寬30 x 深16cm）、背長：46cm。
◎ 材質：30D Ballistic®尼龍，聚氨酯塗層；背部：3D MESH網布。
◎ 輕量多隔間可快取物品的野跑背包。</t>
        </is>
      </c>
    </row>
    <row r="873">
      <c r="A873" t="inlineStr"/>
      <c r="B873" t="inlineStr"/>
      <c r="C873" t="inlineStr">
        <is>
          <t>BACKPACK</t>
        </is>
      </c>
      <c r="D873">
        <f>U873</f>
        <v/>
      </c>
      <c r="E873" t="n">
        <v>1133459</v>
      </c>
      <c r="F873" t="inlineStr">
        <is>
          <t>CROSS RUNNER PACK 7</t>
        </is>
      </c>
      <c r="G873" t="inlineStr">
        <is>
          <t>BL      DGY      LGY      YL</t>
        </is>
      </c>
      <c r="J873" t="n">
        <v>3670</v>
      </c>
      <c r="K873" t="inlineStr">
        <is>
          <t>◎ 重量：276g、容量：7L（高43 x 寬33 x 深13cm）、背長：43cm。
◎ 材質：30D Ballistic®尼龍，聚氨酯塗層；背部：3D MESH網布。
◎ 輕量多隔間可快取物品的野跑背包。</t>
        </is>
      </c>
    </row>
    <row r="874">
      <c r="A874" t="inlineStr"/>
      <c r="B874" t="inlineStr"/>
      <c r="C874" t="inlineStr">
        <is>
          <t>BACKPACK</t>
        </is>
      </c>
      <c r="D874">
        <f>U874</f>
        <v/>
      </c>
      <c r="E874" t="n">
        <v>1133460</v>
      </c>
      <c r="F874" t="inlineStr">
        <is>
          <t>CROSS RUNNER PACK 7 WOMEN'S</t>
        </is>
      </c>
      <c r="G874" t="inlineStr">
        <is>
          <t>DGY      LBL      LGY</t>
        </is>
      </c>
      <c r="J874" t="n">
        <v>3560</v>
      </c>
      <c r="K874" t="inlineStr">
        <is>
          <t>◎ 重量：265g、容量：7L（高42 x 寬29 x 深13cm）、背長：42cm。
◎ 材質：30D Ballistic®尼龍，聚氨酯塗層；背部：3D MESH網布。
◎ 輕量多隔間可快取物品的野跑背包。</t>
        </is>
      </c>
    </row>
    <row r="875">
      <c r="A875" t="inlineStr"/>
      <c r="B875" t="inlineStr"/>
      <c r="C875" t="inlineStr">
        <is>
          <t>BACKPACK</t>
        </is>
      </c>
      <c r="D875">
        <f>U875</f>
        <v/>
      </c>
      <c r="E875" t="n">
        <v>1133543</v>
      </c>
      <c r="F875" t="inlineStr">
        <is>
          <t>DELIGHT PACK 17</t>
        </is>
      </c>
      <c r="G875" t="inlineStr">
        <is>
          <t>BK      IV      KH      NV</t>
        </is>
      </c>
      <c r="J875" t="n">
        <v>2310</v>
      </c>
      <c r="K875" t="inlineStr">
        <is>
          <t>◎ 17L、背長：46cm、330D尼龍抗撕裂布。
◎ 都會型的後背包，內有簡單隔間可置物。</t>
        </is>
      </c>
    </row>
    <row r="876">
      <c r="A876" t="inlineStr"/>
      <c r="B876" t="inlineStr"/>
      <c r="C876" t="inlineStr">
        <is>
          <t>BACKPACK</t>
        </is>
      </c>
      <c r="D876">
        <f>U876</f>
        <v/>
      </c>
      <c r="E876" t="n">
        <v>1133544</v>
      </c>
      <c r="F876" t="inlineStr">
        <is>
          <t>DELIGHT PACK 20</t>
        </is>
      </c>
      <c r="G876" t="inlineStr">
        <is>
          <t>BK      IV      KH      NV</t>
        </is>
      </c>
      <c r="H876" t="inlineStr">
        <is>
          <t>KH</t>
        </is>
      </c>
      <c r="J876" t="n">
        <v>2410</v>
      </c>
      <c r="K876" t="inlineStr">
        <is>
          <t>◎ 20L、背長：48cm、330D尼龍抗撕裂布。
◎ 都會型的後背包，內有簡單隔間可置物。</t>
        </is>
      </c>
    </row>
    <row r="877">
      <c r="A877" t="inlineStr"/>
      <c r="B877" t="inlineStr"/>
      <c r="C877" t="inlineStr">
        <is>
          <t>BACKPACK</t>
        </is>
      </c>
      <c r="D877">
        <f>U877</f>
        <v/>
      </c>
      <c r="E877" t="n">
        <v>1133125</v>
      </c>
      <c r="F877" t="inlineStr">
        <is>
          <t>DENALI PACK 20</t>
        </is>
      </c>
      <c r="G877" t="inlineStr">
        <is>
          <t>BK      DKMA      WT</t>
        </is>
      </c>
      <c r="J877" t="n">
        <v>3340</v>
      </c>
      <c r="K877" t="inlineStr">
        <is>
          <t>◎ 20L（高48×寬28×深17cm）、背長：48cm、重量：575g。
◎ 100D Ballistic®抗撕裂表布（聚氨酯塗層）。背部使用3D MESH材質。可放水袋，附背包套。</t>
        </is>
      </c>
    </row>
    <row r="878">
      <c r="A878" t="inlineStr">
        <is>
          <t>促銷款</t>
        </is>
      </c>
      <c r="B878" t="inlineStr">
        <is>
          <t>活動款</t>
        </is>
      </c>
      <c r="C878" t="inlineStr">
        <is>
          <t>BACKPACK</t>
        </is>
      </c>
      <c r="D878">
        <f>U878</f>
        <v/>
      </c>
      <c r="E878" t="n">
        <v>1133127</v>
      </c>
      <c r="F878" t="inlineStr">
        <is>
          <t>DENALI PACK 25</t>
        </is>
      </c>
      <c r="G878" t="inlineStr">
        <is>
          <t>BK      DKMA      WT</t>
        </is>
      </c>
      <c r="H878" t="inlineStr">
        <is>
          <t>DKMA</t>
        </is>
      </c>
      <c r="J878" t="n">
        <v>3630</v>
      </c>
      <c r="K878" t="inlineStr">
        <is>
          <t>◎ 25L（高53×寬29×深18cm）、背長：53cm、重量：624g。
◎ 100D Ballistic®抗撕裂表布（聚氨酯塗層）。背部使用3D MESH材質。可放水袋，附背包套。</t>
        </is>
      </c>
    </row>
    <row r="879">
      <c r="A879" t="inlineStr"/>
      <c r="B879" t="inlineStr"/>
      <c r="C879" t="inlineStr">
        <is>
          <t>BACKPACK</t>
        </is>
      </c>
      <c r="D879">
        <f>U879</f>
        <v/>
      </c>
      <c r="E879" t="n">
        <v>1133575</v>
      </c>
      <c r="F879" t="inlineStr">
        <is>
          <t>FIRST PACK 15 WOMEN'S</t>
        </is>
      </c>
      <c r="G879" t="inlineStr">
        <is>
          <t>BGY      KBN      NV</t>
        </is>
      </c>
      <c r="H879" t="inlineStr">
        <is>
          <t>BGY</t>
        </is>
      </c>
      <c r="J879" t="n">
        <v>3380</v>
      </c>
      <c r="K879" t="inlineStr">
        <is>
          <t>◎ 主體：100D Ballistic®超輕量抗撕裂表布（聚氨酯塗層）。背部使用3D MESH材質。
◎ 15L，兩邊側袋，肩帶近胸口處附有伸縮口袋，腰帶也有小拉鍊包。</t>
        </is>
      </c>
    </row>
    <row r="880">
      <c r="A880" t="inlineStr">
        <is>
          <t>促銷款</t>
        </is>
      </c>
      <c r="B880" t="inlineStr">
        <is>
          <t>活動款</t>
        </is>
      </c>
      <c r="C880" t="inlineStr">
        <is>
          <t>BACKPACK</t>
        </is>
      </c>
      <c r="D880">
        <f>U880</f>
        <v/>
      </c>
      <c r="E880" t="n">
        <v>1133576</v>
      </c>
      <c r="F880" t="inlineStr">
        <is>
          <t>FIRST PACK 25 WOMEN'S</t>
        </is>
      </c>
      <c r="G880" t="inlineStr">
        <is>
          <t>BGY      KBN      NV</t>
        </is>
      </c>
      <c r="H880" t="inlineStr">
        <is>
          <t>KBN</t>
        </is>
      </c>
      <c r="J880" t="n">
        <v>3400</v>
      </c>
      <c r="K880" t="inlineStr">
        <is>
          <t>◎ 主體：100D Ballistic®超輕量抗撕裂表布（聚氨酯塗層）。背部使用3D MESH材質。
◎ 25L，兩邊側袋，肩帶近胸口處附有伸縮口袋，腰帶也有小拉鍊包。</t>
        </is>
      </c>
    </row>
    <row r="881">
      <c r="A881" t="inlineStr"/>
      <c r="B881" t="inlineStr"/>
      <c r="C881" t="inlineStr">
        <is>
          <t>BACKPACK</t>
        </is>
      </c>
      <c r="D881">
        <f>U881</f>
        <v/>
      </c>
      <c r="E881" t="n">
        <v>1133545</v>
      </c>
      <c r="F881" t="inlineStr">
        <is>
          <t>FLAP PACK 15</t>
        </is>
      </c>
      <c r="G881" t="inlineStr">
        <is>
          <t>BK      KH      NV      YL</t>
        </is>
      </c>
      <c r="H881" t="inlineStr">
        <is>
          <t>NV</t>
        </is>
      </c>
      <c r="J881" t="n">
        <v>2930</v>
      </c>
      <c r="K881" t="inlineStr">
        <is>
          <t>◎ 15L、背長：44cm、330D尼龍抗撕裂布。
◎ 都會型的後背包，磁吸上掀式前蓋方便取物，內有簡單隔間置物。</t>
        </is>
      </c>
    </row>
    <row r="882">
      <c r="A882" t="inlineStr"/>
      <c r="B882" t="inlineStr"/>
      <c r="C882" t="inlineStr">
        <is>
          <t>BACKPACK</t>
        </is>
      </c>
      <c r="D882">
        <f>U882</f>
        <v/>
      </c>
      <c r="E882" t="n">
        <v>1133449</v>
      </c>
      <c r="F882" t="inlineStr">
        <is>
          <t>GARWHAR PACK 15</t>
        </is>
      </c>
      <c r="G882" t="inlineStr">
        <is>
          <t>BK      NV      WRD      YL</t>
        </is>
      </c>
      <c r="J882" t="n">
        <v>3200</v>
      </c>
      <c r="K882" t="inlineStr">
        <is>
          <t>◎ 材質：210D Ballistic®抗撕裂尼龍表布（聚氨酯塗層）。
◎ 15L，大前袋及繩鍊設計方便置物及勾掛配件，適合日常通勤，健行，旅行等活動。</t>
        </is>
      </c>
    </row>
    <row r="883">
      <c r="A883" t="inlineStr"/>
      <c r="B883" t="inlineStr"/>
      <c r="C883" t="inlineStr">
        <is>
          <t>BACKPACK</t>
        </is>
      </c>
      <c r="D883">
        <f>U883</f>
        <v/>
      </c>
      <c r="E883" t="n">
        <v>1133209</v>
      </c>
      <c r="F883" t="inlineStr">
        <is>
          <t>GARWHAR PACK 20</t>
        </is>
      </c>
      <c r="G883" t="inlineStr">
        <is>
          <t>BK      GARN      NV      THYM      YL</t>
        </is>
      </c>
      <c r="J883" t="n">
        <v>3600</v>
      </c>
      <c r="K883" t="inlineStr">
        <is>
          <t>◎ 20L（高48×寬28×深17cm）、背長：48cm、重量：533g。
◎ 材質：100D Ballistic®抗撕裂尼龍表布（聚氨酯塗層）。有大前袋及繩鍊設計方便置物及勾掛配件，適合日常通勤，健行，旅行等活動。</t>
        </is>
      </c>
    </row>
    <row r="884">
      <c r="A884" t="inlineStr"/>
      <c r="B884" t="inlineStr"/>
      <c r="C884" t="inlineStr">
        <is>
          <t>BACKPACK</t>
        </is>
      </c>
      <c r="D884">
        <f>U884</f>
        <v/>
      </c>
      <c r="E884" t="n">
        <v>1133210</v>
      </c>
      <c r="F884" t="inlineStr">
        <is>
          <t>GARWHAR PACK 25</t>
        </is>
      </c>
      <c r="G884" t="inlineStr">
        <is>
          <t>BK      NV      THYM</t>
        </is>
      </c>
      <c r="J884" t="n">
        <v>3780</v>
      </c>
      <c r="K884" t="inlineStr">
        <is>
          <t>◎ 材質：210D Ballistic®抗撕裂尼龍表布（聚氨酯塗層），背部使用3D MESH材質。
◎ 25L，大前袋及繩鍊設計方便置物及勾掛配件，適合日常通勤，健行，旅行等活動。</t>
        </is>
      </c>
    </row>
    <row r="885">
      <c r="A885" t="inlineStr"/>
      <c r="B885" t="inlineStr"/>
      <c r="C885" t="inlineStr">
        <is>
          <t>BACKPACK</t>
        </is>
      </c>
      <c r="D885">
        <f>U885</f>
        <v/>
      </c>
      <c r="E885" t="n">
        <v>1133577</v>
      </c>
      <c r="F885" t="inlineStr">
        <is>
          <t>OWL PACK</t>
        </is>
      </c>
      <c r="G885" t="inlineStr">
        <is>
          <t>BK      KGN      NV</t>
        </is>
      </c>
      <c r="H885" t="inlineStr">
        <is>
          <t>KGN</t>
        </is>
      </c>
      <c r="J885" t="n">
        <v>3410</v>
      </c>
      <c r="K885" t="inlineStr">
        <is>
          <t>◎ 主體：420D Ballistic®抗撕裂表布（聚氨酯塗層）。
◎ 23L、尺寸 : 47x30x17cm、方形電腦包。</t>
        </is>
      </c>
    </row>
    <row r="886">
      <c r="A886" t="inlineStr"/>
      <c r="B886" t="inlineStr"/>
      <c r="C886" t="inlineStr">
        <is>
          <t>BACKPACK</t>
        </is>
      </c>
      <c r="D886">
        <f>U886</f>
        <v/>
      </c>
      <c r="E886" t="n">
        <v>1133579</v>
      </c>
      <c r="F886" t="inlineStr">
        <is>
          <t>POCKETABLE DAYPACK 10</t>
        </is>
      </c>
      <c r="G886" t="inlineStr">
        <is>
          <t>BK      KH      NV      WRD      YL</t>
        </is>
      </c>
      <c r="H886" t="inlineStr">
        <is>
          <t>YL</t>
        </is>
      </c>
      <c r="J886" t="n">
        <v>1200</v>
      </c>
      <c r="K886" t="inlineStr">
        <is>
          <t>◎ 重量：187g、容量：10L（高度38x 寬度23 x 深度16cm）。
◎ 材質：210D尼龍，聚氨酯塗層。
◎ 可自體收納的輕量背包。</t>
        </is>
      </c>
    </row>
    <row r="887">
      <c r="A887" t="inlineStr"/>
      <c r="B887" t="inlineStr"/>
      <c r="C887" t="inlineStr">
        <is>
          <t>BACKPACK</t>
        </is>
      </c>
      <c r="D887">
        <f>U887</f>
        <v/>
      </c>
      <c r="E887" t="n">
        <v>1133472</v>
      </c>
      <c r="F887" t="inlineStr">
        <is>
          <t>POCKETABLE DAYPACK 15</t>
        </is>
      </c>
      <c r="G887" t="inlineStr">
        <is>
          <t>BK      KH      NV      WRD      YL</t>
        </is>
      </c>
      <c r="H887" t="inlineStr">
        <is>
          <t>YL</t>
        </is>
      </c>
      <c r="J887" t="n">
        <v>1510</v>
      </c>
      <c r="K887" t="inlineStr">
        <is>
          <t>◎ 重量：210g、容量：15L（高度45 x 寬度26.5 x 深度14.5cm）、背面尺寸：45cm。
◎ 材質：210D尼龍，聚氨酯塗層。
◎ 可自體收納的輕量背包。</t>
        </is>
      </c>
    </row>
    <row r="888">
      <c r="A888" t="inlineStr"/>
      <c r="B888" t="inlineStr"/>
      <c r="C888" t="inlineStr">
        <is>
          <t>BACKPACK</t>
        </is>
      </c>
      <c r="D888">
        <f>U888</f>
        <v/>
      </c>
      <c r="E888" t="n">
        <v>1133473</v>
      </c>
      <c r="F888" t="inlineStr">
        <is>
          <t>POCKETABLE DAYPACK 20</t>
        </is>
      </c>
      <c r="G888" t="inlineStr">
        <is>
          <t>BK      KH      NV      WRD      YL</t>
        </is>
      </c>
      <c r="H888" t="inlineStr">
        <is>
          <t>WRD</t>
        </is>
      </c>
      <c r="J888" t="n">
        <v>1580</v>
      </c>
      <c r="K888" t="inlineStr">
        <is>
          <t>◎ 重量：227g、容量：20L（高度50 x 寬度28 x 深度15.5cm、背長：50cm。
◎ 材質：210D尼龍，聚氨酯塗層。
◎ 可自體收納的輕量背包。</t>
        </is>
      </c>
    </row>
    <row r="889">
      <c r="A889" t="inlineStr"/>
      <c r="B889" t="inlineStr"/>
      <c r="C889" t="inlineStr">
        <is>
          <t>BACKPACK</t>
        </is>
      </c>
      <c r="D889">
        <f>U889</f>
        <v/>
      </c>
      <c r="E889" t="n">
        <v>1133580</v>
      </c>
      <c r="F889" t="inlineStr">
        <is>
          <t>POCKETABLE LIGHT PACK 10</t>
        </is>
      </c>
      <c r="G889" t="inlineStr">
        <is>
          <t>BK      BRC      CN1      GN      KBN      LGY</t>
        </is>
      </c>
      <c r="H889" t="inlineStr">
        <is>
          <t>BRC</t>
        </is>
      </c>
      <c r="J889" t="n">
        <v>1320</v>
      </c>
      <c r="K889" t="inlineStr">
        <is>
          <t>◎ 主體：70D 尼龍抗撕裂表布（聚氨酯塗層）。重量 : 163g。
◎ 10L、展開尺寸 : 41x24x12cm、可收納日用背包。</t>
        </is>
      </c>
    </row>
    <row r="890">
      <c r="A890" t="inlineStr">
        <is>
          <t>促銷款</t>
        </is>
      </c>
      <c r="B890" t="inlineStr">
        <is>
          <t>活動款</t>
        </is>
      </c>
      <c r="C890" t="inlineStr">
        <is>
          <t>BACKPACK</t>
        </is>
      </c>
      <c r="D890">
        <f>U890</f>
        <v/>
      </c>
      <c r="E890" t="n">
        <v>1133581</v>
      </c>
      <c r="F890" t="inlineStr">
        <is>
          <t>POCKETABLE LIGHT PACK 15</t>
        </is>
      </c>
      <c r="G890" t="inlineStr">
        <is>
          <t>BK      CN1      DGN      DNV      LGY      YL</t>
        </is>
      </c>
      <c r="H890" t="inlineStr">
        <is>
          <t>DGN</t>
        </is>
      </c>
      <c r="J890" t="n">
        <v>1360</v>
      </c>
      <c r="K890" t="inlineStr">
        <is>
          <t>◎ 主體：70D 尼龍抗撕裂表布（聚氨酯塗層）。重量 : 163g。
◎ 15L、展開尺寸 : 45x26.5x14.5cm、可收納日用背包。</t>
        </is>
      </c>
    </row>
    <row r="891">
      <c r="A891" t="inlineStr">
        <is>
          <t>促銷款</t>
        </is>
      </c>
      <c r="B891" t="inlineStr">
        <is>
          <t>活動款</t>
        </is>
      </c>
      <c r="C891" t="inlineStr">
        <is>
          <t>BACKPACK</t>
        </is>
      </c>
      <c r="D891">
        <f>U891</f>
        <v/>
      </c>
      <c r="E891" t="n">
        <v>1133582</v>
      </c>
      <c r="F891" t="inlineStr">
        <is>
          <t>POCKETABLE LIGHT PACK 20</t>
        </is>
      </c>
      <c r="G891" t="inlineStr">
        <is>
          <t>BK      BRC      DNV      KBN</t>
        </is>
      </c>
      <c r="H891" t="inlineStr">
        <is>
          <t>KBN</t>
        </is>
      </c>
      <c r="J891" t="n">
        <v>1400</v>
      </c>
      <c r="K891" t="inlineStr">
        <is>
          <t>◎ 主體：70D 尼龍抗撕裂表布（聚氨酯塗層）。重量 : 163g。
◎ 20L、展開尺寸 : 48x28x15.5cm、可收納日用背包。</t>
        </is>
      </c>
    </row>
    <row r="892">
      <c r="A892" t="inlineStr"/>
      <c r="B892" t="inlineStr"/>
      <c r="C892" t="inlineStr">
        <is>
          <t>BACKPACK</t>
        </is>
      </c>
      <c r="D892">
        <f>U892</f>
        <v/>
      </c>
      <c r="E892" t="n">
        <v>1133507</v>
      </c>
      <c r="F892" t="inlineStr">
        <is>
          <t>RAMBLER PACK 20</t>
        </is>
      </c>
      <c r="G892" t="inlineStr">
        <is>
          <t>BK      BL      BN      DGN</t>
        </is>
      </c>
      <c r="H892" t="inlineStr">
        <is>
          <t>BN      BK</t>
        </is>
      </c>
      <c r="J892" t="n">
        <v>2840</v>
      </c>
      <c r="K892" t="inlineStr">
        <is>
          <t>◎ 20L（高49 x 寬28 x 深14.5cm）、背長：48cm
◎ 材質：正面500D Ballistic® 抗撕裂表布（聚氨酯塗層）、背面420D抗撕裂尼龍。
◎ 捲收式開口的休閒背包。</t>
        </is>
      </c>
    </row>
    <row r="893">
      <c r="A893" t="inlineStr"/>
      <c r="B893" t="inlineStr"/>
      <c r="C893" t="inlineStr">
        <is>
          <t>BACKPACK</t>
        </is>
      </c>
      <c r="D893">
        <f>U893</f>
        <v/>
      </c>
      <c r="E893" t="n">
        <v>1133508</v>
      </c>
      <c r="F893" t="inlineStr">
        <is>
          <t>RAMBLER PACK 25</t>
        </is>
      </c>
      <c r="G893" t="inlineStr">
        <is>
          <t>BK      BL      BN      DGN</t>
        </is>
      </c>
      <c r="H893" t="inlineStr">
        <is>
          <t>BL      DGN</t>
        </is>
      </c>
      <c r="J893" t="n">
        <v>2990</v>
      </c>
      <c r="K893" t="inlineStr">
        <is>
          <t>◎ 25L（高52 x 寬30 x 深16cm）、背長：51cm
◎ 材質：正面500D Ballistic® 抗撕裂表布（聚氨酯塗層）、背面420D抗撕裂尼龍。
◎ 捲收式開口的休閒背包。</t>
        </is>
      </c>
    </row>
    <row r="894">
      <c r="A894" t="inlineStr"/>
      <c r="B894" t="inlineStr"/>
      <c r="C894" t="inlineStr">
        <is>
          <t>BACKPACK</t>
        </is>
      </c>
      <c r="D894">
        <f>U894</f>
        <v/>
      </c>
      <c r="E894" t="n">
        <v>1133571</v>
      </c>
      <c r="F894" t="inlineStr">
        <is>
          <t>ROLL TOP KNAPSACK 15</t>
        </is>
      </c>
      <c r="G894" t="inlineStr">
        <is>
          <t>CN      LGY      OG</t>
        </is>
      </c>
      <c r="H894" t="inlineStr">
        <is>
          <t>OG</t>
        </is>
      </c>
      <c r="J894" t="n">
        <v>940</v>
      </c>
      <c r="K894" t="inlineStr">
        <is>
          <t>◎ 重量 : 110g。15L（高50 x 寬22 x 深14cm）
◎ 主體：70D尼龍，HYDROPRO®防水塗層（耐水壓5,000mm）。
◎ 防水捲口背包，接縫密封，輕盈小巧，也可作收納袋使用。</t>
        </is>
      </c>
    </row>
    <row r="895">
      <c r="A895" t="inlineStr"/>
      <c r="B895" t="inlineStr"/>
      <c r="C895" t="inlineStr">
        <is>
          <t>BACKPACK</t>
        </is>
      </c>
      <c r="D895">
        <f>U895</f>
        <v/>
      </c>
      <c r="E895" t="n">
        <v>1133305</v>
      </c>
      <c r="F895" t="inlineStr">
        <is>
          <t>STORM PACK 20</t>
        </is>
      </c>
      <c r="G895" t="inlineStr">
        <is>
          <t>DKNV</t>
        </is>
      </c>
      <c r="J895" t="n">
        <v>4140</v>
      </c>
      <c r="K895" t="inlineStr">
        <is>
          <t>◎ 20L（高60x寬27x深18cm）背長：48cm、重量：470g。
◎ 材質：100D Ballistic®TOUGH COAT抗撕裂尼龍表布（雙面聚氨酯塗層）。可拆卸背墊，附鉤繩索/胸帶/水袋系統，提供優異的防水性能與耐用性。</t>
        </is>
      </c>
    </row>
    <row r="896">
      <c r="A896" t="inlineStr"/>
      <c r="B896" t="inlineStr"/>
      <c r="C896" t="inlineStr">
        <is>
          <t>BACKPACK</t>
        </is>
      </c>
      <c r="D896">
        <f>U896</f>
        <v/>
      </c>
      <c r="E896" t="n">
        <v>1133425</v>
      </c>
      <c r="F896" t="inlineStr">
        <is>
          <t>TRAVEL DAYPACK 15 WOMEN'S</t>
        </is>
      </c>
      <c r="G896" t="inlineStr">
        <is>
          <t>BGY      BK      LGY</t>
        </is>
      </c>
      <c r="J896" t="n">
        <v>3350</v>
      </c>
      <c r="K896" t="inlineStr">
        <is>
          <t>◎ 15L（高45x寬24x深13cm）、背長：45cm、重量：498g。
◎ 材質：100D 尼龍布。結構良好，簡潔的設計配備戶外所需的基本款背包，適合日常通勤，健行，旅行等活動。</t>
        </is>
      </c>
    </row>
    <row r="897">
      <c r="A897" t="inlineStr"/>
      <c r="B897" t="inlineStr"/>
      <c r="C897" t="inlineStr">
        <is>
          <t>BACKPACK</t>
        </is>
      </c>
      <c r="D897">
        <f>U897</f>
        <v/>
      </c>
      <c r="E897" t="n">
        <v>1133424</v>
      </c>
      <c r="F897" t="inlineStr">
        <is>
          <t>TRAVEL DAYPACK 20</t>
        </is>
      </c>
      <c r="G897" t="inlineStr">
        <is>
          <t>BK      BL      DGN</t>
        </is>
      </c>
      <c r="J897" t="n">
        <v>3530</v>
      </c>
      <c r="K897" t="inlineStr">
        <is>
          <t>◎ 20L（高648x寬27x深13cm）、背長：48cm、重量：528g。
◎ 材質：100D 尼龍布。結構良好，簡潔的設計配備戶外所需的基本款背包，適合日常通勤，健行，旅行等活動。</t>
        </is>
      </c>
    </row>
    <row r="898">
      <c r="A898" t="inlineStr"/>
      <c r="B898" t="inlineStr"/>
      <c r="C898" t="inlineStr">
        <is>
          <t>BACKPACK</t>
        </is>
      </c>
      <c r="D898">
        <f>U898</f>
        <v/>
      </c>
      <c r="E898" t="n">
        <v>1133427</v>
      </c>
      <c r="F898" t="inlineStr">
        <is>
          <t>TRAVEL DAYPACK 20 WOMEN'S</t>
        </is>
      </c>
      <c r="G898" t="inlineStr">
        <is>
          <t>BGY      BK      LGY</t>
        </is>
      </c>
      <c r="J898" t="n">
        <v>3530</v>
      </c>
      <c r="K898" t="inlineStr">
        <is>
          <t>◎ 20L（高47x寬25x深13cm）、背長：47cm、重量：517g。
◎ 材質：100D 尼龍布。結構良好，簡潔的設計配備戶外所需的基本款背包，適合日常通勤，健行，旅行等活動。</t>
        </is>
      </c>
    </row>
    <row r="899">
      <c r="A899" t="inlineStr">
        <is>
          <t>促銷款</t>
        </is>
      </c>
      <c r="B899" t="inlineStr">
        <is>
          <t>活動款</t>
        </is>
      </c>
      <c r="C899" t="inlineStr">
        <is>
          <t>BACKPACK</t>
        </is>
      </c>
      <c r="D899">
        <f>U899</f>
        <v/>
      </c>
      <c r="E899" t="n">
        <v>1133426</v>
      </c>
      <c r="F899" t="inlineStr">
        <is>
          <t>TRAVEL DAYPACK 25</t>
        </is>
      </c>
      <c r="G899" t="inlineStr">
        <is>
          <t>BK      BL      DGN</t>
        </is>
      </c>
      <c r="H899" t="inlineStr">
        <is>
          <t>BL</t>
        </is>
      </c>
      <c r="J899" t="n">
        <v>3160</v>
      </c>
      <c r="K899" t="inlineStr">
        <is>
          <t>◎ 25L（高51 x 寬27 x 深18cm）、背長：51cm、重量：549g。
◎ 材質：100D 尼龍布。結構良好，簡潔的設計配備戶外所需的基本款背包，適合日常通勤，健行，旅行等活動。</t>
        </is>
      </c>
    </row>
    <row r="900">
      <c r="A900" t="inlineStr"/>
      <c r="B900" t="inlineStr"/>
      <c r="C900" t="inlineStr">
        <is>
          <t>BACKPACK</t>
        </is>
      </c>
      <c r="D900">
        <f>U900</f>
        <v/>
      </c>
      <c r="E900" t="n">
        <v>1133522</v>
      </c>
      <c r="F900" t="inlineStr">
        <is>
          <t>TREKKING PACK 30</t>
        </is>
      </c>
      <c r="G900" t="inlineStr">
        <is>
          <t>BK      BL      DGN</t>
        </is>
      </c>
      <c r="J900" t="n">
        <v>6200</v>
      </c>
      <c r="K900" t="inlineStr">
        <is>
          <t>◎兼顧輕量/耐用的中型背包
◎本體：100D Ballistic®抗撕裂布，底部：210DBallistic®抗撕裂布
◎背長49~57cm，頂蓋/胸帶高度皆可調整</t>
        </is>
      </c>
    </row>
    <row r="901">
      <c r="A901" t="inlineStr"/>
      <c r="B901" t="inlineStr"/>
      <c r="C901" t="inlineStr">
        <is>
          <t>BACKPACK</t>
        </is>
      </c>
      <c r="D901">
        <f>U901</f>
        <v/>
      </c>
      <c r="E901" t="n">
        <v>1133523</v>
      </c>
      <c r="F901" t="inlineStr">
        <is>
          <t>TREKKING PACK 30 WOMEN'S</t>
        </is>
      </c>
      <c r="G901" t="inlineStr">
        <is>
          <t>LGN      NV</t>
        </is>
      </c>
      <c r="J901" t="n">
        <v>5710</v>
      </c>
      <c r="K901" t="inlineStr">
        <is>
          <t>◎兼顧輕量/耐用的中型背包
◎本體：100D Ballistic®抗抗撕裂布，底部：210DBallistic®抗抗撕裂布
◎背長44~52cm，頂蓋/胸帶高度皆可調整</t>
        </is>
      </c>
    </row>
    <row r="902">
      <c r="A902" t="inlineStr"/>
      <c r="B902" t="inlineStr"/>
      <c r="C902" t="inlineStr">
        <is>
          <t>BACKPACK</t>
        </is>
      </c>
      <c r="D902">
        <f>U902</f>
        <v/>
      </c>
      <c r="E902" t="n">
        <v>1133524</v>
      </c>
      <c r="F902" t="inlineStr">
        <is>
          <t>TREKKING PACK 35</t>
        </is>
      </c>
      <c r="G902" t="inlineStr">
        <is>
          <t>BK      DGN      OG</t>
        </is>
      </c>
      <c r="J902" t="n">
        <v>6360</v>
      </c>
      <c r="K902" t="inlineStr">
        <is>
          <t>◎兼顧輕量/耐用的中型背包
◎本體：100D Ballistic®抗撕裂布，底部：210DBallistic®抗撕裂布
◎背長49~57cm，頂蓋/胸帶高度皆可調整</t>
        </is>
      </c>
    </row>
    <row r="903">
      <c r="A903" t="inlineStr"/>
      <c r="B903" t="inlineStr"/>
      <c r="C903" t="inlineStr">
        <is>
          <t>BACKPACK</t>
        </is>
      </c>
      <c r="D903">
        <f>U903</f>
        <v/>
      </c>
      <c r="E903" t="n">
        <v>1133525</v>
      </c>
      <c r="F903" t="inlineStr">
        <is>
          <t>TREKKING PACK 35 WOMEN'S</t>
        </is>
      </c>
      <c r="G903" t="inlineStr">
        <is>
          <t>LGN      PU</t>
        </is>
      </c>
      <c r="J903" t="n">
        <v>6360</v>
      </c>
      <c r="K903" t="inlineStr">
        <is>
          <t>◎兼顧輕量/耐用的中型背包
◎本體：100D Ballistic®抗抗撕裂布，底部：210DBallistic®抗抗撕裂布
◎背長44~52cm，頂蓋/胸帶高度皆可調整</t>
        </is>
      </c>
    </row>
    <row r="904">
      <c r="A904" t="inlineStr"/>
      <c r="B904" t="inlineStr"/>
      <c r="C904" t="inlineStr">
        <is>
          <t>BACKPACK</t>
        </is>
      </c>
      <c r="D904">
        <f>U904</f>
        <v/>
      </c>
      <c r="E904" t="n">
        <v>1133526</v>
      </c>
      <c r="F904" t="inlineStr">
        <is>
          <t>TREKKING PACK 40</t>
        </is>
      </c>
      <c r="G904" t="inlineStr">
        <is>
          <t>BK      BL      OG</t>
        </is>
      </c>
      <c r="H904" t="inlineStr">
        <is>
          <t>OG</t>
        </is>
      </c>
      <c r="J904" t="n">
        <v>6330</v>
      </c>
      <c r="K904" t="inlineStr">
        <is>
          <t>◎ 40L、背長：49~57cm。
◎ 正面：100D Ballistic® 抗撕裂表布（聚氨酯塗層），底部：210D Ballistic® 抗撕裂表布（聚氨酯塗層）。背部使用3D MESH材質。</t>
        </is>
      </c>
    </row>
    <row r="905">
      <c r="A905" t="inlineStr"/>
      <c r="B905" t="inlineStr"/>
      <c r="C905" t="inlineStr">
        <is>
          <t>BACKPACK</t>
        </is>
      </c>
      <c r="D905">
        <f>U905</f>
        <v/>
      </c>
      <c r="E905" t="n">
        <v>1133527</v>
      </c>
      <c r="F905" t="inlineStr">
        <is>
          <t>TREKKING PACK 40 WOMEN'S</t>
        </is>
      </c>
      <c r="G905" t="inlineStr">
        <is>
          <t>NV      PU</t>
        </is>
      </c>
      <c r="H905" t="inlineStr">
        <is>
          <t>NV</t>
        </is>
      </c>
      <c r="J905" t="n">
        <v>6330</v>
      </c>
      <c r="K905" t="inlineStr">
        <is>
          <t>◎ 40L、背長：44~52cm。
◎ 正面：100D Ballistic® 抗撕裂表布（聚氨酯塗層），底部：210D Ballistic® 抗撕裂表布（聚氨酯塗層）。背部使用3D MESH材質。</t>
        </is>
      </c>
    </row>
    <row r="906">
      <c r="A906" t="inlineStr"/>
      <c r="B906" t="inlineStr"/>
      <c r="C906" t="inlineStr">
        <is>
          <t>BACKPACK</t>
        </is>
      </c>
      <c r="D906">
        <f>U906</f>
        <v/>
      </c>
      <c r="E906" t="n">
        <v>1133529</v>
      </c>
      <c r="F906" t="inlineStr">
        <is>
          <t>TREKKING PACK 50 WOMEN'S</t>
        </is>
      </c>
      <c r="G906" t="inlineStr">
        <is>
          <t>PU</t>
        </is>
      </c>
      <c r="H906" t="inlineStr">
        <is>
          <t>PU</t>
        </is>
      </c>
      <c r="J906" t="n">
        <v>8590</v>
      </c>
      <c r="K906" t="inlineStr">
        <is>
          <t>◎ 50L、背長：44、48、52cm。
◎ 正面：100D Ballistic®抗撕裂表布（聚氨酯塗層），底部：210D Ballistic®抗撕裂表布（聚氨酯塗層）。背部使用3D MESH材質。</t>
        </is>
      </c>
    </row>
    <row r="907">
      <c r="A907" t="inlineStr"/>
      <c r="B907" t="inlineStr"/>
      <c r="C907" t="inlineStr">
        <is>
          <t>BACKPACK</t>
        </is>
      </c>
      <c r="D907">
        <f>U907</f>
        <v/>
      </c>
      <c r="E907" t="n">
        <v>1133528</v>
      </c>
      <c r="F907" t="inlineStr">
        <is>
          <t>TREKKING PACK 60</t>
        </is>
      </c>
      <c r="G907" t="inlineStr">
        <is>
          <t>BL      DGN</t>
        </is>
      </c>
      <c r="H907" t="inlineStr">
        <is>
          <t>BL</t>
        </is>
      </c>
      <c r="J907" t="n">
        <v>8590</v>
      </c>
      <c r="K907" t="inlineStr">
        <is>
          <t>◎ 60L、背長：49、53、57cm。
◎ 正面：100D Ballistic®抗撕裂表布（聚氨酯塗層），底部：210D Ballistic® 抗撕裂表布（聚氨酯塗層）。背部使用3D MESH材質，不含PFAS。</t>
        </is>
      </c>
    </row>
    <row r="908">
      <c r="A908" t="inlineStr"/>
      <c r="B908" t="inlineStr"/>
      <c r="C908" t="inlineStr">
        <is>
          <t>BACKPACK</t>
        </is>
      </c>
      <c r="D908">
        <f>U908</f>
        <v/>
      </c>
      <c r="E908" t="n">
        <v>1133369</v>
      </c>
      <c r="F908" t="inlineStr">
        <is>
          <t>U.L. KNAPSACK</t>
        </is>
      </c>
      <c r="G908" t="inlineStr">
        <is>
          <t>BK      DTL      KGN      WT      YL</t>
        </is>
      </c>
      <c r="H908" t="inlineStr">
        <is>
          <t>BK</t>
        </is>
      </c>
      <c r="J908" t="n">
        <v>1010</v>
      </c>
      <c r="K908" t="inlineStr">
        <is>
          <t>◎ 13L（48x34cm）、重量：39g、收納：12x11cm。
◎ 表布：30D Silkonized Ballistic®超輕量抗撕裂表布（聚氨酯塗層）。</t>
        </is>
      </c>
    </row>
    <row r="909">
      <c r="A909" t="inlineStr"/>
      <c r="B909" t="inlineStr"/>
      <c r="C909" t="inlineStr">
        <is>
          <t>BACKPACK</t>
        </is>
      </c>
      <c r="D909">
        <f>U909</f>
        <v/>
      </c>
      <c r="E909" t="n">
        <v>1133477</v>
      </c>
      <c r="F909" t="inlineStr">
        <is>
          <t>V.B.P. BACK PANEL</t>
        </is>
      </c>
      <c r="G909" t="inlineStr">
        <is>
          <t>BK</t>
        </is>
      </c>
      <c r="J909" t="n">
        <v>1440</v>
      </c>
      <c r="K909" t="inlineStr">
        <is>
          <t>◎ 重量：298g。材質：210D Ballistic®尼龍。
◎ 背包透氣背板，易於安裝，舒適透氣，減少汗水積聚，適用於中型背包（20-30公升）。尺寸：45 x 28.5 x 6公分（背長：45cm）。</t>
        </is>
      </c>
    </row>
    <row r="910">
      <c r="A910" t="inlineStr"/>
      <c r="B910" t="inlineStr"/>
      <c r="C910" t="inlineStr">
        <is>
          <t>BACKPACK</t>
        </is>
      </c>
      <c r="D910">
        <f>U910</f>
        <v/>
      </c>
      <c r="E910" t="n">
        <v>1133583</v>
      </c>
      <c r="F910" t="inlineStr">
        <is>
          <t>V.B.P. BACK PANEL S</t>
        </is>
      </c>
      <c r="G910" t="inlineStr">
        <is>
          <t>BK</t>
        </is>
      </c>
      <c r="H910" t="inlineStr">
        <is>
          <t>BK</t>
        </is>
      </c>
      <c r="J910" t="n">
        <v>1110</v>
      </c>
      <c r="K910" t="inlineStr">
        <is>
          <t>◎ 重量：230g。材質：210D Ballistic®尼龍。
◎ 背包透氣背板，易於安裝，舒適透氣，減少汗水積聚，適用於小型背包（10-15公升）。尺寸：40 x 26 x 4公分（背長：40cm）</t>
        </is>
      </c>
    </row>
    <row r="911">
      <c r="A911" t="inlineStr"/>
      <c r="B911" t="inlineStr"/>
      <c r="C911" t="inlineStr">
        <is>
          <t>BACKPACK</t>
        </is>
      </c>
      <c r="D911">
        <f>U911</f>
        <v/>
      </c>
      <c r="E911" t="n">
        <v>1133321</v>
      </c>
      <c r="F911" t="inlineStr">
        <is>
          <t>VERSALITE PACK 15</t>
        </is>
      </c>
      <c r="G911" t="inlineStr">
        <is>
          <t>BLBK      CYL      GM</t>
        </is>
      </c>
      <c r="H911" t="inlineStr">
        <is>
          <t>BLBK</t>
        </is>
      </c>
      <c r="J911" t="n">
        <v>1700</v>
      </c>
      <c r="K911" t="inlineStr">
        <is>
          <t>◎ 15L（高45x寬22x深16cm）背長：45cm、重量：93g。
◎ 正面：30D Ballistic®超輕量抗撕裂表布（聚氨酯塗層）。適合當作攻頂包，可收納在頂蓋口袋中。</t>
        </is>
      </c>
    </row>
    <row r="912">
      <c r="A912" t="inlineStr">
        <is>
          <t>促銷款</t>
        </is>
      </c>
      <c r="B912" t="inlineStr">
        <is>
          <t>活動款</t>
        </is>
      </c>
      <c r="C912" t="inlineStr">
        <is>
          <t>BACKPACK</t>
        </is>
      </c>
      <c r="D912">
        <f>U912</f>
        <v/>
      </c>
      <c r="E912" t="n">
        <v>1133322</v>
      </c>
      <c r="F912" t="inlineStr">
        <is>
          <t>VERSALITE PACK 20</t>
        </is>
      </c>
      <c r="G912" t="inlineStr">
        <is>
          <t>BLBK      GM      ICWT</t>
        </is>
      </c>
      <c r="H912" t="inlineStr">
        <is>
          <t>GM</t>
        </is>
      </c>
      <c r="J912" t="n">
        <v>2650</v>
      </c>
      <c r="K912" t="inlineStr">
        <is>
          <t>◎ 20L（高51x寬25x深17cm）背長：46cm、重量：220g。
◎ 正面：30D Ballistic®超輕量抗撕裂表布（聚氨酯塗層）、底部：100D Ballistic®超輕量抗撕裂表布。適合當作攻頂包，可收納在頂蓋口袋中。</t>
        </is>
      </c>
    </row>
    <row r="913">
      <c r="A913" t="inlineStr"/>
      <c r="B913" t="inlineStr"/>
      <c r="C913" t="inlineStr">
        <is>
          <t>BACKPACK</t>
        </is>
      </c>
      <c r="D913">
        <f>U913</f>
        <v/>
      </c>
      <c r="E913" t="n">
        <v>1133323</v>
      </c>
      <c r="F913" t="inlineStr">
        <is>
          <t>VERSALITE PACK 30</t>
        </is>
      </c>
      <c r="G913" t="inlineStr">
        <is>
          <t>BLBK      CYL</t>
        </is>
      </c>
      <c r="H913" t="inlineStr">
        <is>
          <t>CYL</t>
        </is>
      </c>
      <c r="J913" t="n">
        <v>3800</v>
      </c>
      <c r="K913" t="inlineStr">
        <is>
          <t>◎ 30L（高57x寬29x深19cm）背長：53cm、重量：395g。
◎ 正面：30D Ballistic®超輕量抗撕裂表布（聚氨酯塗層）、背部/底部：100D Ballistic®超輕量抗撕裂表布。適合當作攻頂包，可收納在頂蓋口袋中。</t>
        </is>
      </c>
    </row>
    <row r="914">
      <c r="A914" t="inlineStr"/>
      <c r="B914" t="inlineStr"/>
      <c r="C914" t="inlineStr">
        <is>
          <t>BACKPACK</t>
        </is>
      </c>
      <c r="D914">
        <f>U914</f>
        <v/>
      </c>
      <c r="E914" t="n">
        <v>1133324</v>
      </c>
      <c r="F914" t="inlineStr">
        <is>
          <t>VERSALITE PACK 40</t>
        </is>
      </c>
      <c r="G914" t="inlineStr">
        <is>
          <t>BLBK      ICWT</t>
        </is>
      </c>
      <c r="H914" t="inlineStr">
        <is>
          <t>BLBK</t>
        </is>
      </c>
      <c r="J914" t="n">
        <v>4400</v>
      </c>
      <c r="K914" t="inlineStr">
        <is>
          <t>◎ 40L（高63x寬30x深22cm）背長：53cm、重量：480g。
◎ 正面：30D Ballistic®超輕量抗撕裂表布（聚氨酯塗層）、背部/底部：100D Ballistic®超輕量抗撕裂表布。適合當作攻頂包，可收納在頂蓋口袋中。</t>
        </is>
      </c>
    </row>
    <row r="915">
      <c r="A915" t="inlineStr"/>
      <c r="B915" t="inlineStr"/>
      <c r="C915" t="inlineStr">
        <is>
          <t>BAG</t>
        </is>
      </c>
      <c r="D915">
        <f>U915</f>
        <v/>
      </c>
      <c r="E915" t="n">
        <v>1123843</v>
      </c>
      <c r="F915" t="inlineStr">
        <is>
          <t>AQUAPEL FIRST AID BAG 0.5L</t>
        </is>
      </c>
      <c r="G915" t="inlineStr">
        <is>
          <t>HRD</t>
        </is>
      </c>
      <c r="H915" t="inlineStr">
        <is>
          <t>HRD</t>
        </is>
      </c>
      <c r="J915" t="n">
        <v>620</v>
      </c>
      <c r="K915" t="inlineStr">
        <is>
          <t>◎ 重量：50g、尺寸：16x18cm。
◎ 材質：40D尼龍防撕裂布HYDROPRO®塗層。
◎ 具高度撥水性的急救袋，內附小袋子，用於整理藥品和存放剪刀、鉗子等鋒利的物體。</t>
        </is>
      </c>
    </row>
    <row r="916">
      <c r="A916" t="inlineStr"/>
      <c r="B916" t="inlineStr"/>
      <c r="C916" t="inlineStr">
        <is>
          <t>BAG</t>
        </is>
      </c>
      <c r="D916">
        <f>U916</f>
        <v/>
      </c>
      <c r="E916" t="n">
        <v>1123844</v>
      </c>
      <c r="F916" t="inlineStr">
        <is>
          <t>AQUAPEL FIRST AID BAG 2L</t>
        </is>
      </c>
      <c r="G916" t="inlineStr">
        <is>
          <t>HRD</t>
        </is>
      </c>
      <c r="H916" t="inlineStr">
        <is>
          <t>HRD</t>
        </is>
      </c>
      <c r="J916" t="n">
        <v>660</v>
      </c>
      <c r="K916" t="inlineStr">
        <is>
          <t>◎ 重量：72g、尺寸：23x25cm。
◎ 材質：40D尼龍防撕裂布HYDROPRO®塗層。
◎ 具高度撥水性的急救袋，內附小袋子，用於整理藥品和存放剪刀、鉗子等鋒利的物體。</t>
        </is>
      </c>
    </row>
    <row r="917">
      <c r="A917" t="inlineStr"/>
      <c r="B917" t="inlineStr"/>
      <c r="C917" t="inlineStr">
        <is>
          <t>BAG</t>
        </is>
      </c>
      <c r="D917">
        <f>U917</f>
        <v/>
      </c>
      <c r="E917" t="n">
        <v>1133603</v>
      </c>
      <c r="F917" t="inlineStr">
        <is>
          <t>AQUAPEL STUFF BAG 0.5L</t>
        </is>
      </c>
      <c r="G917" t="inlineStr">
        <is>
          <t>CN      DGY      LGY      RD      YL</t>
        </is>
      </c>
      <c r="H917" t="inlineStr">
        <is>
          <t>CN</t>
        </is>
      </c>
      <c r="J917" t="n">
        <v>420</v>
      </c>
      <c r="K917" t="inlineStr">
        <is>
          <t>◎ 材質：70D尼龍HYDROPRO®塗層。此系列皆使用高度防水材質，無車縫，開口以捲扣式固定，方底設計，方便收納。</t>
        </is>
      </c>
    </row>
    <row r="918">
      <c r="A918" t="inlineStr"/>
      <c r="B918" t="inlineStr"/>
      <c r="C918" t="inlineStr">
        <is>
          <t>BAG</t>
        </is>
      </c>
      <c r="D918">
        <f>U918</f>
        <v/>
      </c>
      <c r="E918" t="n">
        <v>1133606</v>
      </c>
      <c r="F918" t="inlineStr">
        <is>
          <t>AQUAPEL STUFF BAG 10L</t>
        </is>
      </c>
      <c r="G918" t="inlineStr">
        <is>
          <t>CN      DGY      LGY      RD      YL</t>
        </is>
      </c>
      <c r="H918" t="inlineStr">
        <is>
          <t>LGY</t>
        </is>
      </c>
      <c r="J918" t="n">
        <v>580</v>
      </c>
      <c r="K918" t="inlineStr">
        <is>
          <t>◎ 材質：70D尼龍HYDROPRO®塗層。此系列皆使用高度防水材質，無車縫，開口以捲扣式固定，方底設計，方便收納。</t>
        </is>
      </c>
    </row>
    <row r="919">
      <c r="A919" t="inlineStr"/>
      <c r="B919" t="inlineStr"/>
      <c r="C919" t="inlineStr">
        <is>
          <t>BAG</t>
        </is>
      </c>
      <c r="D919">
        <f>U919</f>
        <v/>
      </c>
      <c r="E919" t="n">
        <v>1133607</v>
      </c>
      <c r="F919" t="inlineStr">
        <is>
          <t>AQUAPEL STUFF BAG 15L</t>
        </is>
      </c>
      <c r="G919" t="inlineStr">
        <is>
          <t>CN      DGY      LGY      RD      YL</t>
        </is>
      </c>
      <c r="J919" t="n">
        <v>620</v>
      </c>
      <c r="K919" t="inlineStr">
        <is>
          <t>◎ 材質：70D尼龍HYDROPRO®塗層。此系列皆使用高度防水材質，無車縫，開口以捲扣式固定，方底設計，方便收納。</t>
        </is>
      </c>
    </row>
    <row r="920">
      <c r="A920" t="inlineStr"/>
      <c r="B920" t="inlineStr"/>
      <c r="C920" t="inlineStr">
        <is>
          <t>BAG</t>
        </is>
      </c>
      <c r="D920">
        <f>U920</f>
        <v/>
      </c>
      <c r="E920" t="n">
        <v>1133608</v>
      </c>
      <c r="F920" t="inlineStr">
        <is>
          <t>AQUAPEL STUFF BAG 20L</t>
        </is>
      </c>
      <c r="G920" t="inlineStr">
        <is>
          <t>CN      LGY      YL</t>
        </is>
      </c>
      <c r="H920" t="inlineStr">
        <is>
          <t>CN</t>
        </is>
      </c>
      <c r="J920" t="n">
        <v>720</v>
      </c>
      <c r="K920" t="inlineStr">
        <is>
          <t>◎ 材質：70D尼龍HYDROPRO®塗層。此系列皆使用高度防水材質，無車縫，開口以捲扣式固定，方底設計，方便收納。</t>
        </is>
      </c>
    </row>
    <row r="921">
      <c r="A921" t="inlineStr"/>
      <c r="B921" t="inlineStr"/>
      <c r="C921" t="inlineStr">
        <is>
          <t>BAG</t>
        </is>
      </c>
      <c r="D921">
        <f>U921</f>
        <v/>
      </c>
      <c r="E921" t="n">
        <v>1133609</v>
      </c>
      <c r="F921" t="inlineStr">
        <is>
          <t>AQUAPEL STUFF BAG 30L</t>
        </is>
      </c>
      <c r="G921" t="inlineStr">
        <is>
          <t>CN      LGY      YL</t>
        </is>
      </c>
      <c r="H921" t="inlineStr">
        <is>
          <t>YL</t>
        </is>
      </c>
      <c r="J921" t="n">
        <v>780</v>
      </c>
      <c r="K921" t="inlineStr">
        <is>
          <t>◎ 材質：70D尼龍HYDROPRO®塗層。此系列皆使用高度防水材質，無車縫，開口以捲扣式固定，方底設計，方便收納。</t>
        </is>
      </c>
    </row>
    <row r="922">
      <c r="A922" t="inlineStr"/>
      <c r="B922" t="inlineStr"/>
      <c r="C922" t="inlineStr">
        <is>
          <t>BAG</t>
        </is>
      </c>
      <c r="D922">
        <f>U922</f>
        <v/>
      </c>
      <c r="E922" t="n">
        <v>1133604</v>
      </c>
      <c r="F922" t="inlineStr">
        <is>
          <t>AQUAPEL STUFF BAG 3L</t>
        </is>
      </c>
      <c r="G922" t="inlineStr">
        <is>
          <t>CN      DGY      LGY      RD      YL</t>
        </is>
      </c>
      <c r="H922" t="inlineStr">
        <is>
          <t>RD</t>
        </is>
      </c>
      <c r="J922" t="n">
        <v>480</v>
      </c>
      <c r="K922" t="inlineStr">
        <is>
          <t>◎ 材質：70D尼龍HYDROPRO®塗層。此系列皆使用高度防水材質，無車縫，開口以捲扣式固定，方底設計，方便收納。</t>
        </is>
      </c>
    </row>
    <row r="923">
      <c r="A923" t="inlineStr"/>
      <c r="B923" t="inlineStr"/>
      <c r="C923" t="inlineStr">
        <is>
          <t>BAG</t>
        </is>
      </c>
      <c r="D923">
        <f>U923</f>
        <v/>
      </c>
      <c r="E923" t="n">
        <v>1133610</v>
      </c>
      <c r="F923" t="inlineStr">
        <is>
          <t>AQUAPEL STUFF BAG 40L</t>
        </is>
      </c>
      <c r="G923" t="inlineStr">
        <is>
          <t>CN      LGY      YL</t>
        </is>
      </c>
      <c r="H923" t="inlineStr">
        <is>
          <t>LGY</t>
        </is>
      </c>
      <c r="J923" t="n">
        <v>840</v>
      </c>
      <c r="K923" t="inlineStr">
        <is>
          <t>◎ 材質：70D尼龍HYDROPRO®塗層。此系列皆使用高度防水材質，無車縫，開口以捲扣式固定，方底設計，方便收納。</t>
        </is>
      </c>
    </row>
    <row r="924">
      <c r="A924" t="inlineStr"/>
      <c r="B924" t="inlineStr"/>
      <c r="C924" t="inlineStr">
        <is>
          <t>BAG</t>
        </is>
      </c>
      <c r="D924">
        <f>U924</f>
        <v/>
      </c>
      <c r="E924" t="n">
        <v>1133605</v>
      </c>
      <c r="F924" t="inlineStr">
        <is>
          <t>AQUAPEL STUFF BAG 5L</t>
        </is>
      </c>
      <c r="G924" t="inlineStr">
        <is>
          <t>CN      DGY      LGY      RD      YL</t>
        </is>
      </c>
      <c r="H924" t="inlineStr">
        <is>
          <t>CN</t>
        </is>
      </c>
      <c r="J924" t="n">
        <v>520</v>
      </c>
      <c r="K924" t="inlineStr">
        <is>
          <t>◎ 材質：70D尼龍HYDROPRO®塗層。此系列皆使用高度防水材質，無車縫，開口以捲扣式固定，方底設計，方便收納。</t>
        </is>
      </c>
    </row>
    <row r="925">
      <c r="A925" t="inlineStr"/>
      <c r="B925" t="inlineStr"/>
      <c r="C925" t="inlineStr">
        <is>
          <t>BAG</t>
        </is>
      </c>
      <c r="D925">
        <f>U925</f>
        <v/>
      </c>
      <c r="E925" t="n">
        <v>1123834</v>
      </c>
      <c r="F925" t="inlineStr">
        <is>
          <t>AQUAPEL VISIBLE BAG 0.3L</t>
        </is>
      </c>
      <c r="G925" t="inlineStr">
        <is>
          <t>GM      HRD      LEGN      SKGY</t>
        </is>
      </c>
      <c r="J925" t="n">
        <v>460</v>
      </c>
      <c r="K925" t="inlineStr">
        <is>
          <t>◎ 重量：17g、尺寸：10x16.5cm。
◎ 材質：40D抗撕裂尼龍布HYDROPRO®塗層。正面透明視窗，開口捲扣式固定。雖高度防水，但不適用完全防水使用。</t>
        </is>
      </c>
    </row>
    <row r="926">
      <c r="A926" t="inlineStr"/>
      <c r="B926" t="inlineStr"/>
      <c r="C926" t="inlineStr">
        <is>
          <t>BAG</t>
        </is>
      </c>
      <c r="D926">
        <f>U926</f>
        <v/>
      </c>
      <c r="E926" t="n">
        <v>1133597</v>
      </c>
      <c r="F926" t="inlineStr">
        <is>
          <t>ATTACHABLE MOBILE DRY POUCH L</t>
        </is>
      </c>
      <c r="G926" t="inlineStr">
        <is>
          <t>BK</t>
        </is>
      </c>
      <c r="H926" t="inlineStr">
        <is>
          <t>BK</t>
        </is>
      </c>
      <c r="J926" t="n">
        <v>1490</v>
      </c>
      <c r="K926" t="inlineStr">
        <is>
          <t>◎IPX8防水手機套，可觸控屏，可拆卸肩帶，可連接到背包肩帶或腰帶上。
◎ 材質：420D尼龍TPU層壓板。</t>
        </is>
      </c>
    </row>
    <row r="927">
      <c r="A927" t="inlineStr"/>
      <c r="B927" t="inlineStr"/>
      <c r="C927" t="inlineStr">
        <is>
          <t>BAG</t>
        </is>
      </c>
      <c r="D927">
        <f>U927</f>
        <v/>
      </c>
      <c r="E927" t="n">
        <v>1133596</v>
      </c>
      <c r="F927" t="inlineStr">
        <is>
          <t>ATTACHABLE MOBILE DRY POUCH M</t>
        </is>
      </c>
      <c r="G927" t="inlineStr">
        <is>
          <t>BK</t>
        </is>
      </c>
      <c r="H927" t="inlineStr">
        <is>
          <t>BK</t>
        </is>
      </c>
      <c r="J927" t="n">
        <v>1400</v>
      </c>
      <c r="K927" t="inlineStr">
        <is>
          <t>◎IPX8防水手機套，可觸控屏，可拆卸肩帶，可連接到背包肩帶或腰帶上。
◎ 材質：420D尼龍TPU層壓板。</t>
        </is>
      </c>
    </row>
    <row r="928">
      <c r="A928" t="inlineStr"/>
      <c r="B928" t="inlineStr"/>
      <c r="C928" t="inlineStr">
        <is>
          <t>BAG</t>
        </is>
      </c>
      <c r="D928">
        <f>U928</f>
        <v/>
      </c>
      <c r="E928" t="n">
        <v>1133408</v>
      </c>
      <c r="F928" t="inlineStr">
        <is>
          <t>ATTACHABLE MULTI-ITEM POUCH L</t>
        </is>
      </c>
      <c r="G928" t="inlineStr">
        <is>
          <t>BK      NV</t>
        </is>
      </c>
      <c r="H928" t="inlineStr">
        <is>
          <t>NV</t>
        </is>
      </c>
      <c r="J928" t="n">
        <v>1100</v>
      </c>
      <c r="K928" t="inlineStr">
        <is>
          <t>◎ 尺寸：高19x寬10x深5.5cm。
◎ 材質：100D Ballistic®抗撕裂表布（撥水加工）。
◎ 具緩衝材質便於攜帶手機及其他裝備。
◎ 可簡單的繫於腰帶或勾掛於背包。</t>
        </is>
      </c>
    </row>
    <row r="929">
      <c r="A929" t="inlineStr"/>
      <c r="B929" t="inlineStr"/>
      <c r="C929" t="inlineStr">
        <is>
          <t>BAG</t>
        </is>
      </c>
      <c r="D929">
        <f>U929</f>
        <v/>
      </c>
      <c r="E929" t="n">
        <v>1133407</v>
      </c>
      <c r="F929" t="inlineStr">
        <is>
          <t>ATTACHABLE MULTI-ITEM POUCH M</t>
        </is>
      </c>
      <c r="G929" t="inlineStr">
        <is>
          <t>BK      GN      NV</t>
        </is>
      </c>
      <c r="J929" t="n">
        <v>1260</v>
      </c>
      <c r="K929" t="inlineStr">
        <is>
          <t>◎ 尺寸：高17x寬9x深5.5cm。
◎ 材質：100D Ballistic®抗撕裂表布（撥水加工）。
◎ 具緩衝材質便於攜帶手機及其他裝備。
◎ 可簡單的繫於腰帶或勾掛於背包。</t>
        </is>
      </c>
    </row>
    <row r="930">
      <c r="A930" t="inlineStr"/>
      <c r="B930" t="inlineStr"/>
      <c r="C930" t="inlineStr">
        <is>
          <t>BAG</t>
        </is>
      </c>
      <c r="D930">
        <f>U930</f>
        <v/>
      </c>
      <c r="E930" t="n">
        <v>1133404</v>
      </c>
      <c r="F930" t="inlineStr">
        <is>
          <t>ATTACHABLE PHONE POUCH L</t>
        </is>
      </c>
      <c r="G930" t="inlineStr">
        <is>
          <t>BK      BL      DGY      IV</t>
        </is>
      </c>
      <c r="H930" t="inlineStr">
        <is>
          <t>DGY</t>
        </is>
      </c>
      <c r="J930" t="n">
        <v>860</v>
      </c>
      <c r="K930" t="inlineStr">
        <is>
          <t>◎ 尺寸：高19x寬10x深1.5cm。
◎ 材質：3mm發泡橡膠。
◎ 可固定在背包或腰帶上使用的手機套（1123787魔鬼氈另購）。</t>
        </is>
      </c>
    </row>
    <row r="931">
      <c r="A931" t="inlineStr"/>
      <c r="B931" t="inlineStr"/>
      <c r="C931" t="inlineStr">
        <is>
          <t>BAG</t>
        </is>
      </c>
      <c r="D931">
        <f>U931</f>
        <v/>
      </c>
      <c r="E931" t="n">
        <v>1133403</v>
      </c>
      <c r="F931" t="inlineStr">
        <is>
          <t>ATTACHABLE PHONE POUCH M</t>
        </is>
      </c>
      <c r="G931" t="inlineStr">
        <is>
          <t>BK      BL      DGY      IV</t>
        </is>
      </c>
      <c r="J931" t="n">
        <v>970</v>
      </c>
      <c r="K931" t="inlineStr">
        <is>
          <t>◎ 尺寸：高17x寬9x深1.5cm。
◎ 材質：3mm發泡橡膠。
◎ 可固定在背包或腰帶上使用的手機套（1123787魔鬼氈另購）。</t>
        </is>
      </c>
    </row>
    <row r="932">
      <c r="A932" t="inlineStr"/>
      <c r="B932" t="inlineStr"/>
      <c r="C932" t="inlineStr">
        <is>
          <t>BAG</t>
        </is>
      </c>
      <c r="D932">
        <f>U932</f>
        <v/>
      </c>
      <c r="E932" t="n">
        <v>1123775</v>
      </c>
      <c r="F932" t="inlineStr">
        <is>
          <t>ATTACHABLE POUCH</t>
        </is>
      </c>
      <c r="G932" t="inlineStr">
        <is>
          <t>BK      CYL      DKFS      KHBN      NV      TERA</t>
        </is>
      </c>
      <c r="H932" t="inlineStr">
        <is>
          <t>DKFS</t>
        </is>
      </c>
      <c r="J932" t="n">
        <v>800</v>
      </c>
      <c r="K932" t="inlineStr">
        <is>
          <t>◎ 重量：88g、容量：0.9L、尺寸：高17x寬13x深5cm。
◎ 330D抗撕裂尼龍。網布前袋，輕鬆取用的多功能小包，可當腰包、側背包、胸包等用途。</t>
        </is>
      </c>
    </row>
    <row r="933">
      <c r="A933" t="inlineStr"/>
      <c r="B933" t="inlineStr"/>
      <c r="C933" t="inlineStr">
        <is>
          <t>BAG</t>
        </is>
      </c>
      <c r="D933">
        <f>U933</f>
        <v/>
      </c>
      <c r="E933" t="n">
        <v>1133406</v>
      </c>
      <c r="F933" t="inlineStr">
        <is>
          <t>ATTACHABLE SIMPLE POUCH L</t>
        </is>
      </c>
      <c r="G933" t="inlineStr">
        <is>
          <t>BK      NV</t>
        </is>
      </c>
      <c r="H933" t="inlineStr">
        <is>
          <t>BK</t>
        </is>
      </c>
      <c r="J933" t="n">
        <v>920</v>
      </c>
      <c r="K933" t="inlineStr">
        <is>
          <t>◎ 尺寸：高19x寬10x深5.5cm。
◎ 材質：100D Ballistic®抗撕裂表布（撥水加工）。
◎ 加大容量的設計，便於攜帶手機及其他配件。
◎ 可簡單的繫於腰帶或勾掛於背包。</t>
        </is>
      </c>
    </row>
    <row r="934">
      <c r="A934" t="inlineStr"/>
      <c r="B934" t="inlineStr"/>
      <c r="C934" t="inlineStr">
        <is>
          <t>BAG</t>
        </is>
      </c>
      <c r="D934">
        <f>U934</f>
        <v/>
      </c>
      <c r="E934" t="n">
        <v>1133405</v>
      </c>
      <c r="F934" t="inlineStr">
        <is>
          <t>ATTACHABLE SIMPLE POUCH M</t>
        </is>
      </c>
      <c r="G934" t="inlineStr">
        <is>
          <t>BK      NV      WRD</t>
        </is>
      </c>
      <c r="J934" t="n">
        <v>1040</v>
      </c>
      <c r="K934" t="inlineStr">
        <is>
          <t>◎ 尺寸：高17x寬9x深5.5cm。
◎ 材質：100D Ballistic®抗撕裂表布（撥水加工）。 便於攜帶手機及其他配件，可簡單的繫於腰帶或勾掛於背包。</t>
        </is>
      </c>
    </row>
    <row r="935">
      <c r="A935" t="inlineStr"/>
      <c r="B935" t="inlineStr"/>
      <c r="C935" t="inlineStr">
        <is>
          <t>BAG</t>
        </is>
      </c>
      <c r="D935">
        <f>U935</f>
        <v/>
      </c>
      <c r="E935" t="n">
        <v>1123774</v>
      </c>
      <c r="F935" t="inlineStr">
        <is>
          <t>BELT POUCH</t>
        </is>
      </c>
      <c r="G935" t="inlineStr">
        <is>
          <t>BK      CYL      DKFS      KHBN      NV      TERA</t>
        </is>
      </c>
      <c r="H935" t="inlineStr">
        <is>
          <t>TERA</t>
        </is>
      </c>
      <c r="J935" t="n">
        <v>1040</v>
      </c>
      <c r="K935" t="inlineStr">
        <is>
          <t>◎ 1.0L（高13x寬16x深5cm）。
◎ 材質：330D抗撕裂尼龍。多用途腰包。</t>
        </is>
      </c>
    </row>
    <row r="936">
      <c r="A936" t="inlineStr"/>
      <c r="B936" t="inlineStr"/>
      <c r="C936" t="inlineStr">
        <is>
          <t>BAG</t>
        </is>
      </c>
      <c r="D936">
        <f>U936</f>
        <v/>
      </c>
      <c r="E936" t="n">
        <v>1123898</v>
      </c>
      <c r="F936" t="inlineStr">
        <is>
          <t>BERNINA FLAP SHOULDER BAG M</t>
        </is>
      </c>
      <c r="G936" t="inlineStr">
        <is>
          <t>BK25      KH      NV      OG</t>
        </is>
      </c>
      <c r="H936" t="inlineStr">
        <is>
          <t>BK25</t>
        </is>
      </c>
      <c r="J936" t="n">
        <v>2160</v>
      </c>
      <c r="K936" t="inlineStr">
        <is>
          <t>◎ 8L（高25x寬34x深12cm）（A4尺寸）。
◎ 表布：420D Ballistic®超輕量抗撕裂表布，內裡：70D抗撕裂尼龍布。</t>
        </is>
      </c>
    </row>
    <row r="937">
      <c r="A937" t="inlineStr"/>
      <c r="B937" t="inlineStr"/>
      <c r="C937" t="inlineStr">
        <is>
          <t>BAG</t>
        </is>
      </c>
      <c r="D937">
        <f>U937</f>
        <v/>
      </c>
      <c r="E937" t="n">
        <v>1123899</v>
      </c>
      <c r="F937" t="inlineStr">
        <is>
          <t>BERNINA FLAP SHOULDER L</t>
        </is>
      </c>
      <c r="G937" t="inlineStr">
        <is>
          <t>BK25      KH      NV      OG</t>
        </is>
      </c>
      <c r="H937" t="inlineStr">
        <is>
          <t>BK25</t>
        </is>
      </c>
      <c r="J937" t="n">
        <v>2810</v>
      </c>
      <c r="K937" t="inlineStr">
        <is>
          <t>◎ 14L（高29x寬39x深12cm）（B4尺寸）。
◎ 表布：420D Ballistic®超輕量抗撕裂表布，內裡：70D抗撕裂尼龍布。</t>
        </is>
      </c>
    </row>
    <row r="938">
      <c r="A938" t="inlineStr"/>
      <c r="B938" t="inlineStr"/>
      <c r="C938" t="inlineStr">
        <is>
          <t>BAG</t>
        </is>
      </c>
      <c r="D938">
        <f>U938</f>
        <v/>
      </c>
      <c r="E938" t="n">
        <v>1123896</v>
      </c>
      <c r="F938" t="inlineStr">
        <is>
          <t>BERNINA SHOULDER BAG M</t>
        </is>
      </c>
      <c r="G938" t="inlineStr">
        <is>
          <t>BK25      IV      PK</t>
        </is>
      </c>
      <c r="H938" t="inlineStr">
        <is>
          <t>PK</t>
        </is>
      </c>
      <c r="J938" t="n">
        <v>2200</v>
      </c>
      <c r="K938" t="inlineStr">
        <is>
          <t>◎ 10L（高30x寬39x深14cm）（A4尺寸）。
◎ 表布：420D Ballistic®超輕量抗撕裂表布，內裡：70D抗撕裂尼龍布。</t>
        </is>
      </c>
    </row>
    <row r="939">
      <c r="A939" t="inlineStr"/>
      <c r="B939" t="inlineStr"/>
      <c r="C939" t="inlineStr">
        <is>
          <t>BAG</t>
        </is>
      </c>
      <c r="D939">
        <f>U939</f>
        <v/>
      </c>
      <c r="E939" t="n">
        <v>1123895</v>
      </c>
      <c r="F939" t="inlineStr">
        <is>
          <t>BERNINA SHOULDER BAG S</t>
        </is>
      </c>
      <c r="G939" t="inlineStr">
        <is>
          <t>BK25      IV      NV      PK</t>
        </is>
      </c>
      <c r="H939" t="inlineStr">
        <is>
          <t>PK</t>
        </is>
      </c>
      <c r="J939" t="n">
        <v>1960</v>
      </c>
      <c r="K939" t="inlineStr">
        <is>
          <t>◎ 5L（高23x寬35x深10cm）（A5尺寸）。
◎ 表布：420D Ballistic®超輕量抗撕裂表布，內裡：70D抗撕裂尼龍布。</t>
        </is>
      </c>
    </row>
    <row r="940">
      <c r="A940" t="inlineStr"/>
      <c r="B940" t="inlineStr"/>
      <c r="C940" t="inlineStr">
        <is>
          <t>BAG</t>
        </is>
      </c>
      <c r="D940">
        <f>U940</f>
        <v/>
      </c>
      <c r="E940" t="n">
        <v>1133374</v>
      </c>
      <c r="F940" t="inlineStr">
        <is>
          <t>COIN PURSE</t>
        </is>
      </c>
      <c r="G940" t="inlineStr">
        <is>
          <t>BK      GN      GY      NV      PU      YL</t>
        </is>
      </c>
      <c r="H940" t="inlineStr">
        <is>
          <t>BK      YL</t>
        </is>
      </c>
      <c r="J940" t="n">
        <v>390</v>
      </c>
      <c r="K940" t="inlineStr">
        <is>
          <t>◎ 尺寸：5.7x9cm。
◎ 材質：210D Ballistic®超輕量抗撕裂尼龍。
◎ 掌上型的零錢夾，開口有拉鍊閉合。</t>
        </is>
      </c>
    </row>
    <row r="941">
      <c r="A941" t="inlineStr"/>
      <c r="B941" t="inlineStr"/>
      <c r="C941" t="inlineStr">
        <is>
          <t>BAG</t>
        </is>
      </c>
      <c r="D941">
        <f>U941</f>
        <v/>
      </c>
      <c r="E941" t="n">
        <v>1133600</v>
      </c>
      <c r="F941" t="inlineStr">
        <is>
          <t>COIN WALLET</t>
        </is>
      </c>
      <c r="G941" t="inlineStr">
        <is>
          <t>BK      IV      KGN      NV      OG      YL</t>
        </is>
      </c>
      <c r="H941" t="inlineStr">
        <is>
          <t>IV</t>
        </is>
      </c>
      <c r="J941" t="n">
        <v>310</v>
      </c>
      <c r="K941" t="inlineStr">
        <is>
          <t>◎ 材質：420DBallistic® 抗撕裂尼龍( 聚氨酯塗層)。
◎ 小巧的零錢包，開口設計具巧思方便取物，或置放於口袋內。</t>
        </is>
      </c>
    </row>
    <row r="942">
      <c r="A942" t="inlineStr"/>
      <c r="B942" t="inlineStr"/>
      <c r="C942" t="inlineStr">
        <is>
          <t>BAG</t>
        </is>
      </c>
      <c r="D942">
        <f>U942</f>
        <v/>
      </c>
      <c r="E942" t="n">
        <v>1133333</v>
      </c>
      <c r="F942" t="inlineStr">
        <is>
          <t>CROSS RUNNER POUCH M</t>
        </is>
      </c>
      <c r="G942" t="inlineStr">
        <is>
          <t>BK      LGY</t>
        </is>
      </c>
      <c r="H942" t="inlineStr">
        <is>
          <t>BK</t>
        </is>
      </c>
      <c r="J942" t="n">
        <v>1380</v>
      </c>
      <c r="K942" t="inlineStr">
        <is>
          <t>◎ 重量：82g、尺寸：高11x寬28x深2cm。
◎ 材質：彈性網布/3D網布。本產品可完全水洗。
◎ 輕量、高透氣性、貼合身形適合跑步的腰包。</t>
        </is>
      </c>
    </row>
    <row r="943">
      <c r="A943" t="inlineStr"/>
      <c r="B943" t="inlineStr"/>
      <c r="C943" t="inlineStr">
        <is>
          <t>BAG</t>
        </is>
      </c>
      <c r="D943">
        <f>U943</f>
        <v/>
      </c>
      <c r="E943" t="n">
        <v>1133332</v>
      </c>
      <c r="F943" t="inlineStr">
        <is>
          <t>CROSS RUNNER POUCH S</t>
        </is>
      </c>
      <c r="G943" t="inlineStr">
        <is>
          <t>BK      LGY</t>
        </is>
      </c>
      <c r="H943" t="inlineStr">
        <is>
          <t>BK</t>
        </is>
      </c>
      <c r="J943" t="n">
        <v>970</v>
      </c>
      <c r="K943" t="inlineStr">
        <is>
          <t>◎ 重量：51g、尺寸：高10.5x寬19.5x深2cm。
◎ 材質：彈性網布/3D網布。本產品可完全水洗。
◎ 輕量、高透氣性、貼合身形適合跑步的腰包。</t>
        </is>
      </c>
    </row>
    <row r="944">
      <c r="A944" t="inlineStr"/>
      <c r="B944" t="inlineStr"/>
      <c r="C944" t="inlineStr">
        <is>
          <t>BAG</t>
        </is>
      </c>
      <c r="D944">
        <f>U944</f>
        <v/>
      </c>
      <c r="E944" t="n">
        <v>1123765</v>
      </c>
      <c r="F944" t="inlineStr">
        <is>
          <t>DELTA GUSSET POUCH L</t>
        </is>
      </c>
      <c r="G944" t="inlineStr">
        <is>
          <t>BK      CYL      KHBN      NV      TERA</t>
        </is>
      </c>
      <c r="J944" t="n">
        <v>1100</v>
      </c>
      <c r="K944" t="inlineStr">
        <is>
          <t>◎ 1.8L（高15x寬24x深8cm）、重量：155g。
◎ 330D抗撕裂尼龍。
◎ 開口大、可輕鬆取用物品的多功能腰包，附件可固定於腰帶。</t>
        </is>
      </c>
    </row>
    <row r="945">
      <c r="A945" t="inlineStr"/>
      <c r="B945" t="inlineStr"/>
      <c r="C945" t="inlineStr">
        <is>
          <t>BAG</t>
        </is>
      </c>
      <c r="D945">
        <f>U945</f>
        <v/>
      </c>
      <c r="E945" t="n">
        <v>1123764</v>
      </c>
      <c r="F945" t="inlineStr">
        <is>
          <t>DELTA GUSSET POUCH M</t>
        </is>
      </c>
      <c r="G945" t="inlineStr">
        <is>
          <t>BK      KHBN      NV      POPU      TERA</t>
        </is>
      </c>
      <c r="J945" t="n">
        <v>920</v>
      </c>
      <c r="K945" t="inlineStr">
        <is>
          <t>◎ 1.3L（高13x寬20x深7cm）、重量：119g。
◎ 330D抗撕裂尼龍，適用腰圍至105cm。
◎ 開口大、可輕鬆取用物品的多功能腰包，附件可固定於腰帶。</t>
        </is>
      </c>
    </row>
    <row r="946">
      <c r="A946" t="inlineStr"/>
      <c r="B946" t="inlineStr"/>
      <c r="C946" t="inlineStr">
        <is>
          <t>BAG</t>
        </is>
      </c>
      <c r="D946">
        <f>U946</f>
        <v/>
      </c>
      <c r="E946" t="n">
        <v>1123763</v>
      </c>
      <c r="F946" t="inlineStr">
        <is>
          <t>DELTA GUSSET POUCH S</t>
        </is>
      </c>
      <c r="G946" t="inlineStr">
        <is>
          <t>BK      CYL      NV      POPU      TERA</t>
        </is>
      </c>
      <c r="J946" t="n">
        <v>860</v>
      </c>
      <c r="K946" t="inlineStr">
        <is>
          <t>◎ 0.8L（高11x寬17.5x深6cm）、重量：107g。
◎ 330D抗撕裂尼龍。
◎ 開口大、可輕鬆取用物品的多功能小腰包，附件可固定於腰帶。</t>
        </is>
      </c>
    </row>
    <row r="947">
      <c r="A947" t="inlineStr"/>
      <c r="B947" t="inlineStr"/>
      <c r="C947" t="inlineStr">
        <is>
          <t>BAG</t>
        </is>
      </c>
      <c r="D947">
        <f>U947</f>
        <v/>
      </c>
      <c r="E947" t="n">
        <v>1123432</v>
      </c>
      <c r="F947" t="inlineStr">
        <is>
          <t>DRY BAG TUBE 15</t>
        </is>
      </c>
      <c r="G947" t="inlineStr">
        <is>
          <t>CLER</t>
        </is>
      </c>
      <c r="J947" t="n">
        <v>1520</v>
      </c>
      <c r="K947" t="inlineStr">
        <is>
          <t>◎圓底防水袋，極高防水效能，15L
◎材質： 聚酯纖維・防水布
◎重量：260g、Φ24×48cm</t>
        </is>
      </c>
    </row>
    <row r="948">
      <c r="A948" t="inlineStr"/>
      <c r="B948" t="inlineStr"/>
      <c r="C948" t="inlineStr">
        <is>
          <t>BAG</t>
        </is>
      </c>
      <c r="D948">
        <f>U948</f>
        <v/>
      </c>
      <c r="E948" t="n">
        <v>1123979</v>
      </c>
      <c r="F948" t="inlineStr">
        <is>
          <t>DRY BAG TUBE 20</t>
        </is>
      </c>
      <c r="G948" t="inlineStr">
        <is>
          <t>CLER</t>
        </is>
      </c>
      <c r="H948" t="inlineStr">
        <is>
          <t>CLER</t>
        </is>
      </c>
      <c r="J948" t="n">
        <v>1480</v>
      </c>
      <c r="K948" t="inlineStr">
        <is>
          <t>◎圓底防水袋，極高防水效能，20L
◎材質： 聚酯纖維・防水布
◎重量：335g、Φ24×59cm</t>
        </is>
      </c>
    </row>
    <row r="949">
      <c r="A949" t="inlineStr"/>
      <c r="B949" t="inlineStr"/>
      <c r="C949" t="inlineStr">
        <is>
          <t>BAG</t>
        </is>
      </c>
      <c r="D949">
        <f>U949</f>
        <v/>
      </c>
      <c r="E949" t="n">
        <v>1123434</v>
      </c>
      <c r="F949" t="inlineStr">
        <is>
          <t>DRY BAG TUBE 30</t>
        </is>
      </c>
      <c r="G949" t="inlineStr">
        <is>
          <t>CLER</t>
        </is>
      </c>
      <c r="J949" t="n">
        <v>1620</v>
      </c>
      <c r="K949" t="inlineStr">
        <is>
          <t>◎圓底防水袋，極高防水效能，30L
◎材質： 聚酯纖維・防水布
◎重量：405g、Φ30×60cm</t>
        </is>
      </c>
    </row>
    <row r="950">
      <c r="A950" t="inlineStr"/>
      <c r="B950" t="inlineStr"/>
      <c r="C950" t="inlineStr">
        <is>
          <t>BAG</t>
        </is>
      </c>
      <c r="D950">
        <f>U950</f>
        <v/>
      </c>
      <c r="E950" t="n">
        <v>1123980</v>
      </c>
      <c r="F950" t="inlineStr">
        <is>
          <t>DRY BAG TUBE 40</t>
        </is>
      </c>
      <c r="G950" t="inlineStr">
        <is>
          <t>CLER</t>
        </is>
      </c>
      <c r="H950" t="inlineStr">
        <is>
          <t>CLER</t>
        </is>
      </c>
      <c r="J950" t="n">
        <v>1870</v>
      </c>
      <c r="K950" t="inlineStr">
        <is>
          <t>◎圓底防水袋，極高防水效能，40L
◎材質： 聚酯纖維・防水布
◎重量：450g、Φ35×62cm</t>
        </is>
      </c>
    </row>
    <row r="951">
      <c r="A951" t="inlineStr"/>
      <c r="B951" t="inlineStr"/>
      <c r="C951" t="inlineStr">
        <is>
          <t>BAG</t>
        </is>
      </c>
      <c r="D951">
        <f>U951</f>
        <v/>
      </c>
      <c r="E951" t="n">
        <v>1133197</v>
      </c>
      <c r="F951" t="inlineStr">
        <is>
          <t>DRY SHOULDER BAG L</t>
        </is>
      </c>
      <c r="G951" t="inlineStr">
        <is>
          <t>BK      KHGN</t>
        </is>
      </c>
      <c r="J951" t="n">
        <v>1910</v>
      </c>
      <c r="K951" t="inlineStr">
        <is>
          <t>◎ 4.5L（高18x寬32x深9cm）、重量：191g。。
◎ 材質：420D尼龍TPU層壓板。
◎ 高度防水的側背包，接縫處採熱貼合連接，以防止水從接縫處滲漏。</t>
        </is>
      </c>
    </row>
    <row r="952">
      <c r="A952" t="inlineStr"/>
      <c r="B952" t="inlineStr"/>
      <c r="C952" t="inlineStr">
        <is>
          <t>BAG</t>
        </is>
      </c>
      <c r="D952">
        <f>U952</f>
        <v/>
      </c>
      <c r="E952" t="n">
        <v>1133196</v>
      </c>
      <c r="F952" t="inlineStr">
        <is>
          <t>DRY SHOULDER BAG M</t>
        </is>
      </c>
      <c r="G952" t="inlineStr">
        <is>
          <t>BK      KHGN      RD</t>
        </is>
      </c>
      <c r="J952" t="n">
        <v>1690</v>
      </c>
      <c r="K952" t="inlineStr">
        <is>
          <t>◎ 3L（高17x寬28x深8.5cm）。
◎ 材質：420D尼龍TPU層壓板。
◎ 高度防水的側背包，接縫處採熱貼合連接，以防止水從接縫處滲漏。</t>
        </is>
      </c>
    </row>
    <row r="953">
      <c r="A953" t="inlineStr"/>
      <c r="B953" t="inlineStr"/>
      <c r="C953" t="inlineStr">
        <is>
          <t>BAG</t>
        </is>
      </c>
      <c r="D953">
        <f>U953</f>
        <v/>
      </c>
      <c r="E953" t="n">
        <v>1133195</v>
      </c>
      <c r="F953" t="inlineStr">
        <is>
          <t>DRY SHOULDER BAG S</t>
        </is>
      </c>
      <c r="G953" t="inlineStr">
        <is>
          <t>BK      KHGN      PE      RD</t>
        </is>
      </c>
      <c r="J953" t="n">
        <v>1220</v>
      </c>
      <c r="K953" t="inlineStr">
        <is>
          <t>◎ 1.4L（高14x寬25x深5.5cm）。
◎ 材質：420D尼龍TPU層壓板。
◎ 高度防水的側背包，接縫處採熱貼合連接，以防止水從接縫處滲漏。</t>
        </is>
      </c>
    </row>
    <row r="954">
      <c r="A954" t="inlineStr"/>
      <c r="B954" t="inlineStr"/>
      <c r="C954" t="inlineStr">
        <is>
          <t>BAG</t>
        </is>
      </c>
      <c r="D954">
        <f>U954</f>
        <v/>
      </c>
      <c r="E954" t="n">
        <v>1133185</v>
      </c>
      <c r="F954" t="inlineStr">
        <is>
          <t>FIRST AID BAG M</t>
        </is>
      </c>
      <c r="G954" t="inlineStr">
        <is>
          <t>RD</t>
        </is>
      </c>
      <c r="H954" t="inlineStr">
        <is>
          <t>RD</t>
        </is>
      </c>
      <c r="J954" t="n">
        <v>1760</v>
      </c>
      <c r="K954" t="inlineStr">
        <is>
          <t>◎ 115g（高16x寬23x深9.5cm）。
◎ 材質：420D尼龍TPU層壓板。
◎ 高度防水的急救包，當拉鍊打開時，袋子本身變成一個托盤，可在地上快速處理避免汙染。內部設有一個口袋和內袋，可以進行分類和存放。</t>
        </is>
      </c>
    </row>
    <row r="955">
      <c r="A955" t="inlineStr"/>
      <c r="B955" t="inlineStr"/>
      <c r="C955" t="inlineStr">
        <is>
          <t>BAG</t>
        </is>
      </c>
      <c r="D955">
        <f>U955</f>
        <v/>
      </c>
      <c r="E955" t="n">
        <v>1133184</v>
      </c>
      <c r="F955" t="inlineStr">
        <is>
          <t>FIRST AID BAG S</t>
        </is>
      </c>
      <c r="G955" t="inlineStr">
        <is>
          <t>RD</t>
        </is>
      </c>
      <c r="H955" t="inlineStr">
        <is>
          <t>RD</t>
        </is>
      </c>
      <c r="J955" t="n">
        <v>1500</v>
      </c>
      <c r="K955" t="inlineStr">
        <is>
          <t>◎ 80g（高11x寬18cmx深7.5cm）。
◎ 材質：420D尼龍TPU層壓板。
◎ 高度防水的急救包，當拉鍊打開時，袋子本身變成一個托盤，可在地上快速處理避免汙染。內部設有一個口袋和內袋，可以進行分類和存放。</t>
        </is>
      </c>
    </row>
    <row r="956">
      <c r="A956" t="inlineStr"/>
      <c r="B956" t="inlineStr"/>
      <c r="C956" t="inlineStr">
        <is>
          <t>BAG</t>
        </is>
      </c>
      <c r="D956">
        <f>U956</f>
        <v/>
      </c>
      <c r="E956" t="n">
        <v>1133337</v>
      </c>
      <c r="F956" t="inlineStr">
        <is>
          <t>FLAT BAG 16</t>
        </is>
      </c>
      <c r="G956" t="inlineStr">
        <is>
          <t>FOG      TWBL      WT</t>
        </is>
      </c>
      <c r="H956" t="inlineStr">
        <is>
          <t>FOG</t>
        </is>
      </c>
      <c r="J956" t="n">
        <v>830</v>
      </c>
      <c r="K956" t="inlineStr">
        <is>
          <t>◎ 16L（高26.5x寬32x深14.5cm）、 收納：8x12.8cm、 重量21g。
◎ 材質：30D聚酯纖維（聚氨酯塗層）。超輕量環保袋。</t>
        </is>
      </c>
    </row>
    <row r="957">
      <c r="A957" t="inlineStr"/>
      <c r="B957" t="inlineStr"/>
      <c r="C957" t="inlineStr">
        <is>
          <t>BAG</t>
        </is>
      </c>
      <c r="D957">
        <f>U957</f>
        <v/>
      </c>
      <c r="E957" t="n">
        <v>1133335</v>
      </c>
      <c r="F957" t="inlineStr">
        <is>
          <t>FLAT BAG 4</t>
        </is>
      </c>
      <c r="G957" t="inlineStr">
        <is>
          <t>FOG      TWBL      WT</t>
        </is>
      </c>
      <c r="H957" t="inlineStr">
        <is>
          <t>WT</t>
        </is>
      </c>
      <c r="J957" t="n">
        <v>650</v>
      </c>
      <c r="K957" t="inlineStr">
        <is>
          <t>◎ 4L（高12.5x寬21.5x深16cm）、 收納：5.4x8.5cm、 重量12g。
◎ 材質：30D聚酯纖維（聚氨酯塗層）。超輕量環保袋。耐重2kg。</t>
        </is>
      </c>
    </row>
    <row r="958">
      <c r="A958" t="inlineStr"/>
      <c r="B958" t="inlineStr"/>
      <c r="C958" t="inlineStr">
        <is>
          <t>BAG</t>
        </is>
      </c>
      <c r="D958">
        <f>U958</f>
        <v/>
      </c>
      <c r="E958" t="n">
        <v>1133336</v>
      </c>
      <c r="F958" t="inlineStr">
        <is>
          <t>FLAT BAG 8</t>
        </is>
      </c>
      <c r="G958" t="inlineStr">
        <is>
          <t>FOG      TWBL      WT</t>
        </is>
      </c>
      <c r="H958" t="inlineStr">
        <is>
          <t>TWBL</t>
        </is>
      </c>
      <c r="J958" t="n">
        <v>760</v>
      </c>
      <c r="K958" t="inlineStr">
        <is>
          <t>◎ 8L（高20.5x寬26.5x深12cm）、 收納：6.5x10.5cm、 重量15g。
◎ 材質：30D聚酯纖維（聚氨酯塗層）。超輕量環保袋。</t>
        </is>
      </c>
    </row>
    <row r="959">
      <c r="A959" t="inlineStr"/>
      <c r="B959" t="inlineStr"/>
      <c r="C959" t="inlineStr">
        <is>
          <t>BAG</t>
        </is>
      </c>
      <c r="D959">
        <f>U959</f>
        <v/>
      </c>
      <c r="E959" t="n">
        <v>1133371</v>
      </c>
      <c r="F959" t="inlineStr">
        <is>
          <t>FLAT WALLET</t>
        </is>
      </c>
      <c r="G959" t="inlineStr">
        <is>
          <t>BK      GN      GY      NV      PU      YL</t>
        </is>
      </c>
      <c r="H959" t="inlineStr">
        <is>
          <t>NV      GY</t>
        </is>
      </c>
      <c r="J959" t="n">
        <v>760</v>
      </c>
      <c r="K959" t="inlineStr">
        <is>
          <t>◎ 重量：28g、尺寸：9.2x10.8cm。
◎ 材質：210D Ballistic®超輕量抗撕裂表布。可置放紙幣、硬幣、卡片。獨特的結構可防止卡片彎曲斷裂。</t>
        </is>
      </c>
    </row>
    <row r="960">
      <c r="A960" t="inlineStr"/>
      <c r="B960" t="inlineStr"/>
      <c r="C960" t="inlineStr">
        <is>
          <t>BAG</t>
        </is>
      </c>
      <c r="D960">
        <f>U960</f>
        <v/>
      </c>
      <c r="E960" t="n">
        <v>1123655</v>
      </c>
      <c r="F960" t="inlineStr">
        <is>
          <t>GORE-TEX STUFF BAG 1.5L</t>
        </is>
      </c>
      <c r="J960" t="n">
        <v>640</v>
      </c>
      <c r="K960" t="inlineStr">
        <is>
          <t>◎ 尺寸：10x20cm。
◎ 材質：GORE-TEX® 3L。此系列皆使用高度防水材質，無車縫，開口以捲扣式固定，方底設計，方便收納。</t>
        </is>
      </c>
    </row>
    <row r="961">
      <c r="A961" t="inlineStr"/>
      <c r="B961" t="inlineStr"/>
      <c r="C961" t="inlineStr">
        <is>
          <t>BAG</t>
        </is>
      </c>
      <c r="D961">
        <f>U961</f>
        <v/>
      </c>
      <c r="E961" t="n">
        <v>1123659</v>
      </c>
      <c r="F961" t="inlineStr">
        <is>
          <t>GORE-TEX STUFF BAG 15L</t>
        </is>
      </c>
      <c r="J961" t="n">
        <v>1100</v>
      </c>
      <c r="K961" t="inlineStr">
        <is>
          <t>◎ 尺寸：21x43.5cm。
◎ 材質：GORE-TEX® 3L。此系列皆使用高度防水材質，無車縫，開口以捲扣式固定，方底設計，方便收納。</t>
        </is>
      </c>
    </row>
    <row r="962">
      <c r="A962" t="inlineStr"/>
      <c r="B962" t="inlineStr"/>
      <c r="C962" t="inlineStr">
        <is>
          <t>BAG</t>
        </is>
      </c>
      <c r="D962">
        <f>U962</f>
        <v/>
      </c>
      <c r="E962" t="n">
        <v>1123654</v>
      </c>
      <c r="F962" t="inlineStr">
        <is>
          <t>GORE-TEX STUFF BAG 1L</t>
        </is>
      </c>
      <c r="J962" t="n">
        <v>620</v>
      </c>
      <c r="K962" t="inlineStr">
        <is>
          <t>◎ 尺寸：9x16.5cm。
◎ 材質：GORE-TEX® 3L。此系列皆使用高度防水材質，無車縫，開口以捲扣式固定，方底設計，方便收納。</t>
        </is>
      </c>
    </row>
    <row r="963">
      <c r="A963" t="inlineStr"/>
      <c r="B963" t="inlineStr"/>
      <c r="C963" t="inlineStr">
        <is>
          <t>BAG</t>
        </is>
      </c>
      <c r="D963">
        <f>U963</f>
        <v/>
      </c>
      <c r="E963" t="n">
        <v>1123656</v>
      </c>
      <c r="F963" t="inlineStr">
        <is>
          <t>GORE-TEX STUFF BAG 2L</t>
        </is>
      </c>
      <c r="J963" t="n">
        <v>680</v>
      </c>
      <c r="K963" t="inlineStr">
        <is>
          <t>◎ 尺寸：11x22.5cm。
◎ 材質：GORE-TEX® 3L。此系列皆使用高度防水材質，無車縫，開口以捲扣式固定，方底設計，方便收納。</t>
        </is>
      </c>
    </row>
    <row r="964">
      <c r="A964" t="inlineStr"/>
      <c r="B964" t="inlineStr"/>
      <c r="C964" t="inlineStr">
        <is>
          <t>BAG</t>
        </is>
      </c>
      <c r="D964">
        <f>U964</f>
        <v/>
      </c>
      <c r="E964" t="n">
        <v>1123657</v>
      </c>
      <c r="F964" t="inlineStr">
        <is>
          <t>GORE-TEX STUFF BAG 4L</t>
        </is>
      </c>
      <c r="J964" t="n">
        <v>700</v>
      </c>
      <c r="K964" t="inlineStr">
        <is>
          <t>◎ 尺寸：14x28cm。
◎ 材質：GORE-TEX® 3L。此系列皆使用高度防水材質，無車縫，開口以捲扣式固定，方底設計，方便收納。</t>
        </is>
      </c>
    </row>
    <row r="965">
      <c r="A965" t="inlineStr"/>
      <c r="B965" t="inlineStr"/>
      <c r="C965" t="inlineStr">
        <is>
          <t>BAG</t>
        </is>
      </c>
      <c r="D965">
        <f>U965</f>
        <v/>
      </c>
      <c r="E965" t="n">
        <v>1123658</v>
      </c>
      <c r="F965" t="inlineStr">
        <is>
          <t>GORE-TEX STUFF BAG 9L</t>
        </is>
      </c>
      <c r="J965" t="n">
        <v>900</v>
      </c>
      <c r="K965" t="inlineStr">
        <is>
          <t>◎ 尺寸：18x36cm。
◎ 材質：GORE-TEX® 3L。此系列皆使用高度防水材質，無車縫，開口以捲扣式固定，方底設計，方便收納。</t>
        </is>
      </c>
    </row>
    <row r="966">
      <c r="A966" t="inlineStr"/>
      <c r="B966" t="inlineStr"/>
      <c r="C966" t="inlineStr">
        <is>
          <t>BAG</t>
        </is>
      </c>
      <c r="D966">
        <f>U966</f>
        <v/>
      </c>
      <c r="E966" t="n">
        <v>1133554</v>
      </c>
      <c r="F966" t="inlineStr">
        <is>
          <t>LIGHT PAPER POUCH L</t>
        </is>
      </c>
      <c r="G966" t="inlineStr">
        <is>
          <t>BGN      BK      PU      YL</t>
        </is>
      </c>
      <c r="H966" t="inlineStr">
        <is>
          <t>BGN</t>
        </is>
      </c>
      <c r="J966" t="n">
        <v>300</v>
      </c>
      <c r="K966" t="inlineStr">
        <is>
          <t>◎ 重量：25g、尺寸：24×34cm　
◎ 材質：70Ｄ抗撕裂尼龍（聚氨酯塗層），布料不含 PFAS。
◎ 多功能可收納各種小物的簡便袋子，附掛耳可自行穿繩。</t>
        </is>
      </c>
    </row>
    <row r="967">
      <c r="A967" t="inlineStr"/>
      <c r="B967" t="inlineStr"/>
      <c r="C967" t="inlineStr">
        <is>
          <t>BAG</t>
        </is>
      </c>
      <c r="D967">
        <f>U967</f>
        <v/>
      </c>
      <c r="E967" t="n">
        <v>1133553</v>
      </c>
      <c r="F967" t="inlineStr">
        <is>
          <t>LIGHT PAPER POUCH M</t>
        </is>
      </c>
      <c r="G967" t="inlineStr">
        <is>
          <t>BGN      BK      OG      PU      TN      YL</t>
        </is>
      </c>
      <c r="H967" t="inlineStr">
        <is>
          <t>TN</t>
        </is>
      </c>
      <c r="J967" t="n">
        <v>290</v>
      </c>
      <c r="K967" t="inlineStr">
        <is>
          <t>◎ 重量：15g、尺寸：17.5×24cm　
◎ 材質：70Ｄ抗撕裂尼龍（聚氨酯塗層）
◎ 多功能可收納各種小物的簡便袋子，附掛耳可自行穿繩。</t>
        </is>
      </c>
    </row>
    <row r="968">
      <c r="A968" t="inlineStr"/>
      <c r="B968" t="inlineStr"/>
      <c r="C968" t="inlineStr">
        <is>
          <t>BAG</t>
        </is>
      </c>
      <c r="D968">
        <f>U968</f>
        <v/>
      </c>
      <c r="E968" t="n">
        <v>1133552</v>
      </c>
      <c r="F968" t="inlineStr">
        <is>
          <t>LIGHT PAPER POUCH S</t>
        </is>
      </c>
      <c r="G968" t="inlineStr">
        <is>
          <t>BGN      BK      OG      PU      TN      YL</t>
        </is>
      </c>
      <c r="H968" t="inlineStr">
        <is>
          <t>PU</t>
        </is>
      </c>
      <c r="J968" t="n">
        <v>270</v>
      </c>
      <c r="K968" t="inlineStr">
        <is>
          <t>◎ 重量：10g、尺寸：11.5×15.5cm　
◎ 材質：70Ｄ抗撕裂尼龍（聚氨酯塗層）
◎ 多功能可收納各種小物的簡便袋子，附掛耳可自行穿繩。</t>
        </is>
      </c>
    </row>
    <row r="969">
      <c r="A969" t="inlineStr"/>
      <c r="B969" t="inlineStr"/>
      <c r="C969" t="inlineStr">
        <is>
          <t>BAG</t>
        </is>
      </c>
      <c r="D969">
        <f>U969</f>
        <v/>
      </c>
      <c r="E969" t="n">
        <v>1133551</v>
      </c>
      <c r="F969" t="inlineStr">
        <is>
          <t>LIGHT POUCH M</t>
        </is>
      </c>
      <c r="G969" t="inlineStr">
        <is>
          <t>BGN      BK      GN      OG      YL</t>
        </is>
      </c>
      <c r="H969" t="inlineStr">
        <is>
          <t>YL</t>
        </is>
      </c>
      <c r="J969" t="n">
        <v>520</v>
      </c>
      <c r="K969" t="inlineStr">
        <is>
          <t>◎ 重量：45g、高10.5×寬21×深6.5cm、70D尼龍抗撕裂布。
◎ 大開口收納袋、三角形設計可防止物品溢出。</t>
        </is>
      </c>
    </row>
    <row r="970">
      <c r="A970" t="inlineStr"/>
      <c r="B970" t="inlineStr"/>
      <c r="C970" t="inlineStr">
        <is>
          <t>BAG</t>
        </is>
      </c>
      <c r="D970">
        <f>U970</f>
        <v/>
      </c>
      <c r="E970" t="n">
        <v>1133550</v>
      </c>
      <c r="F970" t="inlineStr">
        <is>
          <t>LIGHT POUCH S</t>
        </is>
      </c>
      <c r="G970" t="inlineStr">
        <is>
          <t>BGN      BK      GN      OG      YL</t>
        </is>
      </c>
      <c r="H970" t="inlineStr">
        <is>
          <t>OG</t>
        </is>
      </c>
      <c r="J970" t="n">
        <v>460</v>
      </c>
      <c r="K970" t="inlineStr">
        <is>
          <t>◎ 重量：40g、高9.5×寬17×深5.5cm、70D尼龍抗撕裂布。
◎ 大開口收納袋、三角形設計可防止物品溢出。</t>
        </is>
      </c>
    </row>
    <row r="971">
      <c r="A971" t="inlineStr"/>
      <c r="B971" t="inlineStr"/>
      <c r="C971" t="inlineStr">
        <is>
          <t>BAG</t>
        </is>
      </c>
      <c r="D971">
        <f>U971</f>
        <v/>
      </c>
      <c r="E971" t="n">
        <v>1123828</v>
      </c>
      <c r="F971" t="inlineStr">
        <is>
          <t>LIGHT STUFF BAG 10L</t>
        </is>
      </c>
      <c r="G971" t="inlineStr">
        <is>
          <t>CYL      DKFS      GM      PRBL      SKGY</t>
        </is>
      </c>
      <c r="H971" t="inlineStr">
        <is>
          <t>GM</t>
        </is>
      </c>
      <c r="J971" t="n">
        <v>540</v>
      </c>
      <c r="K971" t="inlineStr">
        <is>
          <t>◎ 重量：36g、尺寸：Φ20×35cm。
◎ 材質：40D尼龍HYDROPRO®塗層。此系列皆使用高度防水材質，無車縫，開口以捲扣式固定，方底設計，方便收納。</t>
        </is>
      </c>
    </row>
    <row r="972">
      <c r="A972" t="inlineStr"/>
      <c r="B972" t="inlineStr"/>
      <c r="C972" t="inlineStr">
        <is>
          <t>BAG</t>
        </is>
      </c>
      <c r="D972">
        <f>U972</f>
        <v/>
      </c>
      <c r="E972" t="n">
        <v>1123829</v>
      </c>
      <c r="F972" t="inlineStr">
        <is>
          <t>LIGHT STUFF BAG 15L</t>
        </is>
      </c>
      <c r="G972" t="inlineStr">
        <is>
          <t>CYL      DKFS      GM      PRBL      SKGY</t>
        </is>
      </c>
      <c r="J972" t="n">
        <v>590</v>
      </c>
      <c r="K972" t="inlineStr">
        <is>
          <t>◎ 重量：44g、尺寸：Φ22.5×40cm。
◎ 材質：40D尼龍HYDROPRO®塗層。此系列皆使用高度防水材質，無車縫，開口以捲扣式固定，方底設計，方便收納。</t>
        </is>
      </c>
    </row>
    <row r="973">
      <c r="A973" t="inlineStr"/>
      <c r="B973" t="inlineStr"/>
      <c r="C973" t="inlineStr">
        <is>
          <t>BAG</t>
        </is>
      </c>
      <c r="D973">
        <f>U973</f>
        <v/>
      </c>
      <c r="E973" t="n">
        <v>1123830</v>
      </c>
      <c r="F973" t="inlineStr">
        <is>
          <t>LIGHT STUFF BAG 20L</t>
        </is>
      </c>
      <c r="G973" t="inlineStr">
        <is>
          <t>CYL      DKFS      GM      PRBL      SKGY</t>
        </is>
      </c>
      <c r="J973" t="n">
        <v>680</v>
      </c>
      <c r="K973" t="inlineStr">
        <is>
          <t>◎ 重量：53g、尺寸：Φ25×44cm。
◎ 材質：40D尼龍HYDROPRO®塗層。此系列皆使用高度防水材質，無車縫，開口以捲扣式固定，方底設計，方便收納。</t>
        </is>
      </c>
    </row>
    <row r="974">
      <c r="A974" t="inlineStr"/>
      <c r="B974" t="inlineStr"/>
      <c r="C974" t="inlineStr">
        <is>
          <t>BAG</t>
        </is>
      </c>
      <c r="D974">
        <f>U974</f>
        <v/>
      </c>
      <c r="E974" t="n">
        <v>1123826</v>
      </c>
      <c r="F974" t="inlineStr">
        <is>
          <t>LIGHT STUFF BAG 2L</t>
        </is>
      </c>
      <c r="G974" t="inlineStr">
        <is>
          <t>CYL      DKFS      GM      PRBL      SKGY</t>
        </is>
      </c>
      <c r="H974" t="inlineStr">
        <is>
          <t>GM</t>
        </is>
      </c>
      <c r="J974" t="n">
        <v>380</v>
      </c>
      <c r="K974" t="inlineStr">
        <is>
          <t>◎ 重量：17g、尺寸：Φ11.5×20cm。
◎ 材質：40D尼龍HYDROPRO®塗層。此系列皆使用高度防水材質，無車縫，開口以捲扣式固定，方底設計，方便收納。</t>
        </is>
      </c>
    </row>
    <row r="975">
      <c r="A975" t="inlineStr"/>
      <c r="B975" t="inlineStr"/>
      <c r="C975" t="inlineStr">
        <is>
          <t>BAG</t>
        </is>
      </c>
      <c r="D975">
        <f>U975</f>
        <v/>
      </c>
      <c r="E975" t="n">
        <v>1123831</v>
      </c>
      <c r="F975" t="inlineStr">
        <is>
          <t>LIGHT STUFF BAG 40L</t>
        </is>
      </c>
      <c r="G975" t="inlineStr">
        <is>
          <t>CYL      PRBL      SKGY</t>
        </is>
      </c>
      <c r="J975" t="n">
        <v>850</v>
      </c>
      <c r="K975" t="inlineStr">
        <is>
          <t>◎ 尺寸：Φ31.5×55cm、重量：79g。
◎  材質：40D HYDROPRO®尼龍。高度防水收納袋，圓底設計避免收納死角。</t>
        </is>
      </c>
    </row>
    <row r="976">
      <c r="A976" t="inlineStr"/>
      <c r="B976" t="inlineStr"/>
      <c r="C976" t="inlineStr">
        <is>
          <t>BAG</t>
        </is>
      </c>
      <c r="D976">
        <f>U976</f>
        <v/>
      </c>
      <c r="E976" t="n">
        <v>1123827</v>
      </c>
      <c r="F976" t="inlineStr">
        <is>
          <t>LIGHT STUFF BAG 5L</t>
        </is>
      </c>
      <c r="G976" t="inlineStr">
        <is>
          <t>CYL      DKFS      GM      PRBL      SKGY</t>
        </is>
      </c>
      <c r="H976" t="inlineStr">
        <is>
          <t>SKGY</t>
        </is>
      </c>
      <c r="J976" t="n">
        <v>440</v>
      </c>
      <c r="K976" t="inlineStr">
        <is>
          <t>◎ 尺寸：Φ16×28cm、重量：26g。
◎  材質：40D HYDROPRO®尼龍。高度防水收納袋，圓底設計避免收納死角。</t>
        </is>
      </c>
    </row>
    <row r="977">
      <c r="A977" t="inlineStr"/>
      <c r="B977" t="inlineStr"/>
      <c r="C977" t="inlineStr">
        <is>
          <t>BAG</t>
        </is>
      </c>
      <c r="D977">
        <f>U977</f>
        <v/>
      </c>
      <c r="E977" t="n">
        <v>1133395</v>
      </c>
      <c r="F977" t="inlineStr">
        <is>
          <t>LIGHT WEIGHT DUFFLE BAG 40</t>
        </is>
      </c>
      <c r="G977" t="inlineStr">
        <is>
          <t>BK      DGN      NV      RD</t>
        </is>
      </c>
      <c r="J977" t="n">
        <v>2500</v>
      </c>
      <c r="K977" t="inlineStr">
        <is>
          <t>◎ 尺寸：27x53x25cm、收納尺寸：15x20x8cm、重量：415g、容量：40L。
◎ 材質：100D Ballistic®超輕量抗撕裂表布，PU塗層。輕巧堅固尼龍單肩背包，可折疊收納，適用旅行。
◎ U型大開口設計，打包收納或取出物品皆輕鬆順手。</t>
        </is>
      </c>
    </row>
    <row r="978">
      <c r="A978" t="inlineStr"/>
      <c r="B978" t="inlineStr"/>
      <c r="C978" t="inlineStr">
        <is>
          <t>BAG</t>
        </is>
      </c>
      <c r="D978">
        <f>U978</f>
        <v/>
      </c>
      <c r="E978" t="n">
        <v>1133394</v>
      </c>
      <c r="F978" t="inlineStr">
        <is>
          <t>LIGHT WEIGHT DUFFLE BAG 5</t>
        </is>
      </c>
      <c r="G978" t="inlineStr">
        <is>
          <t>BK      LBL      NV      OG1      YL1</t>
        </is>
      </c>
      <c r="J978" t="n">
        <v>1260</v>
      </c>
      <c r="K978" t="inlineStr">
        <is>
          <t>◎ 尺寸：14.5x28x14.5cm、重量：160g、容量：5L。
◎ 材質：100D Ballistic®超輕量抗撕裂表布。輕巧堅固尼龍單肩背包，可折疊收納，適用外出活動。</t>
        </is>
      </c>
    </row>
    <row r="979">
      <c r="A979" t="inlineStr"/>
      <c r="B979" t="inlineStr"/>
      <c r="C979" t="inlineStr">
        <is>
          <t>BAG</t>
        </is>
      </c>
      <c r="D979">
        <f>U979</f>
        <v/>
      </c>
      <c r="E979" t="n">
        <v>1133396</v>
      </c>
      <c r="F979" t="inlineStr">
        <is>
          <t>LIGHT WEIGHT DUFFLE BAG 60</t>
        </is>
      </c>
      <c r="G979" t="inlineStr">
        <is>
          <t>BK      NV      RD</t>
        </is>
      </c>
      <c r="J979" t="n">
        <v>2950</v>
      </c>
      <c r="K979" t="inlineStr">
        <is>
          <t>◎ 尺寸：33x64x28cm、收納尺寸：16x22x8cm、重量：475g、容量：60L。
◎ 材質：100D Ballistic®超輕量抗撕裂表布。輕巧堅固尼龍單肩背包，可折疊收納，適用旅行。
◎ U型大開口設計，打包收納或取出物品皆輕鬆順手。</t>
        </is>
      </c>
    </row>
    <row r="980">
      <c r="A980" t="inlineStr"/>
      <c r="B980" t="inlineStr"/>
      <c r="C980" t="inlineStr">
        <is>
          <t>BAG</t>
        </is>
      </c>
      <c r="D980">
        <f>U980</f>
        <v/>
      </c>
      <c r="E980" t="n">
        <v>1133112</v>
      </c>
      <c r="F980" t="inlineStr">
        <is>
          <t>LIGHT WEIGHT SHOULDER BAG L</t>
        </is>
      </c>
      <c r="G980" t="inlineStr">
        <is>
          <t>BK      NV      RUST</t>
        </is>
      </c>
      <c r="H980" t="inlineStr">
        <is>
          <t>NV</t>
        </is>
      </c>
      <c r="J980" t="n">
        <v>2160</v>
      </c>
      <c r="K980" t="inlineStr">
        <is>
          <t>◎ 材質：100D Ballistic®超輕量抗撕裂表布。輕巧堅固尼龍單肩背包，可折疊收納，適用旅行。</t>
        </is>
      </c>
    </row>
    <row r="981">
      <c r="A981" t="inlineStr"/>
      <c r="B981" t="inlineStr"/>
      <c r="C981" t="inlineStr">
        <is>
          <t>BAG</t>
        </is>
      </c>
      <c r="D981">
        <f>U981</f>
        <v/>
      </c>
      <c r="E981" t="n">
        <v>1133111</v>
      </c>
      <c r="F981" t="inlineStr">
        <is>
          <t>LIGHT WEIGHT SHOULDER BAG M</t>
        </is>
      </c>
      <c r="G981" t="inlineStr">
        <is>
          <t>BK      KHGN      NV      RUST</t>
        </is>
      </c>
      <c r="H981" t="inlineStr">
        <is>
          <t>KHGN</t>
        </is>
      </c>
      <c r="J981" t="n">
        <v>1550</v>
      </c>
      <c r="K981" t="inlineStr">
        <is>
          <t>◎ 尺寸：30x46x14.5cm（可裝B4文件）、重量：219g、容量14L。
◎ 材質：100D Ballistic®超輕量抗撕裂表布。輕巧堅固尼龍單肩背包，可折疊收納，適用旅行。</t>
        </is>
      </c>
    </row>
    <row r="982">
      <c r="A982" t="inlineStr"/>
      <c r="B982" t="inlineStr"/>
      <c r="C982" t="inlineStr">
        <is>
          <t>BAG</t>
        </is>
      </c>
      <c r="D982">
        <f>U982</f>
        <v/>
      </c>
      <c r="E982" t="n">
        <v>1133110</v>
      </c>
      <c r="F982" t="inlineStr">
        <is>
          <t>LIGHT WEIGHT SHOULDER BAG S</t>
        </is>
      </c>
      <c r="G982" t="inlineStr">
        <is>
          <t>BK      KHGN      NV      RUST</t>
        </is>
      </c>
      <c r="H982" t="inlineStr">
        <is>
          <t>RUST</t>
        </is>
      </c>
      <c r="J982" t="n">
        <v>1300</v>
      </c>
      <c r="K982" t="inlineStr">
        <is>
          <t>◎ 尺寸：28x41x11cm（可裝A4文件）、重量：195g、容量：8L。
◎ 材質：100D Ballistic®超輕量抗撕裂表布。輕巧堅固尼龍單肩背包，可折疊收納，適用旅行。</t>
        </is>
      </c>
    </row>
    <row r="983">
      <c r="A983" t="inlineStr"/>
      <c r="B983" t="inlineStr"/>
      <c r="C983" t="inlineStr">
        <is>
          <t>BAG</t>
        </is>
      </c>
      <c r="D983">
        <f>U983</f>
        <v/>
      </c>
      <c r="E983" t="n">
        <v>1133113</v>
      </c>
      <c r="F983" t="inlineStr">
        <is>
          <t>LIGHT WEIGHT SHOULDER BAG XL</t>
        </is>
      </c>
      <c r="G983" t="inlineStr">
        <is>
          <t>BK      KHGN</t>
        </is>
      </c>
      <c r="J983" t="n">
        <v>2450</v>
      </c>
      <c r="K983" t="inlineStr">
        <is>
          <t>◎ 尺寸：34x60.5x26.5cm、重量：355g、容量：42L。
◎  材質：100D Ballistic®超輕量抗撕裂表布。輕巧堅固尼龍單肩背包，可折疊收納，適用旅行。</t>
        </is>
      </c>
    </row>
    <row r="984">
      <c r="A984" t="inlineStr"/>
      <c r="B984" t="inlineStr"/>
      <c r="C984" t="inlineStr">
        <is>
          <t>BAG</t>
        </is>
      </c>
      <c r="D984">
        <f>U984</f>
        <v/>
      </c>
      <c r="E984" t="n">
        <v>1133559</v>
      </c>
      <c r="F984" t="inlineStr">
        <is>
          <t>MESH CASE L</t>
        </is>
      </c>
      <c r="G984" t="inlineStr">
        <is>
          <t>BGN      BK      GN      YL</t>
        </is>
      </c>
      <c r="H984" t="inlineStr">
        <is>
          <t>GN</t>
        </is>
      </c>
      <c r="J984" t="n">
        <v>580</v>
      </c>
      <c r="K984" t="inlineStr">
        <is>
          <t>◎ 尺寸：28x37x3cm、重量：85g。
◎ 材質：70D抗撕裂尼龍布。適合旅行用的網狀收納袋，輕鬆整理收納衣物及小物品。</t>
        </is>
      </c>
    </row>
    <row r="985">
      <c r="A985" t="inlineStr"/>
      <c r="B985" t="inlineStr"/>
      <c r="C985" t="inlineStr">
        <is>
          <t>BAG</t>
        </is>
      </c>
      <c r="D985">
        <f>U985</f>
        <v/>
      </c>
      <c r="E985" t="n">
        <v>1133558</v>
      </c>
      <c r="F985" t="inlineStr">
        <is>
          <t>MESH CASE M</t>
        </is>
      </c>
      <c r="G985" t="inlineStr">
        <is>
          <t>BGN      BK      GN      PU      YL</t>
        </is>
      </c>
      <c r="H985" t="inlineStr">
        <is>
          <t>YL</t>
        </is>
      </c>
      <c r="J985" t="n">
        <v>550</v>
      </c>
      <c r="K985" t="inlineStr">
        <is>
          <t>◎ 尺寸：19x28x9cm、重量：50g。
◎ 材質：70D抗撕裂尼龍布。適合旅行用的網狀收納袋，輕鬆整理收納衣物及小物品。</t>
        </is>
      </c>
    </row>
    <row r="986">
      <c r="A986" t="inlineStr"/>
      <c r="B986" t="inlineStr"/>
      <c r="C986" t="inlineStr">
        <is>
          <t>BAG</t>
        </is>
      </c>
      <c r="D986">
        <f>U986</f>
        <v/>
      </c>
      <c r="E986" t="n">
        <v>1133557</v>
      </c>
      <c r="F986" t="inlineStr">
        <is>
          <t>MESH CASE S</t>
        </is>
      </c>
      <c r="G986" t="inlineStr">
        <is>
          <t>BGN      BK      GN      PU      YL</t>
        </is>
      </c>
      <c r="H986" t="inlineStr">
        <is>
          <t>GN</t>
        </is>
      </c>
      <c r="J986" t="n">
        <v>520</v>
      </c>
      <c r="K986" t="inlineStr">
        <is>
          <t>◎ 尺寸：14x19x6.5cm、重量：40g。
◎ 材質：70D抗撕裂尼龍布。適合旅行用的網狀收納袋，輕鬆整理收納衣物及小物品。</t>
        </is>
      </c>
    </row>
    <row r="987">
      <c r="A987" t="inlineStr"/>
      <c r="B987" t="inlineStr"/>
      <c r="C987" t="inlineStr">
        <is>
          <t>BAG</t>
        </is>
      </c>
      <c r="D987">
        <f>U987</f>
        <v/>
      </c>
      <c r="E987" t="n">
        <v>1123321</v>
      </c>
      <c r="F987" t="inlineStr">
        <is>
          <t>MESH GEAR PACK 20</t>
        </is>
      </c>
      <c r="G987" t="inlineStr">
        <is>
          <t>BK</t>
        </is>
      </c>
      <c r="J987" t="n">
        <v>2000</v>
      </c>
      <c r="K987" t="inlineStr">
        <is>
          <t>◎ 尺寸：40x28x18cm、重量：460g、容量：20L。
◎ 材質：210D抗撕裂尼龍背板、尼龍網布（浸漬加工）、底部900D聚酯纖維帆布（PU塗層）。
◎ 快速排水，適合收納各種水上活動潮濕物品，透氣設計裝備不悶臭。</t>
        </is>
      </c>
    </row>
    <row r="988">
      <c r="A988" t="inlineStr"/>
      <c r="B988" t="inlineStr"/>
      <c r="C988" t="inlineStr">
        <is>
          <t>BAG</t>
        </is>
      </c>
      <c r="D988">
        <f>U988</f>
        <v/>
      </c>
      <c r="E988" t="n">
        <v>1123322</v>
      </c>
      <c r="F988" t="inlineStr">
        <is>
          <t>MESH GEAR PACK 35</t>
        </is>
      </c>
      <c r="G988" t="inlineStr">
        <is>
          <t>BK</t>
        </is>
      </c>
      <c r="J988" t="n">
        <v>2260</v>
      </c>
      <c r="K988" t="inlineStr">
        <is>
          <t>◎ 尺寸：48x34x23cm、重量：570g、容量：35L。
◎ 材質：210D抗撕裂尼龍背板、尼龍網布（浸漬加工）、底部900D聚酯纖維帆布（PU塗層）。
◎ 快速排水，適合收納各種水上活動潮濕物品，透氣設計裝備不悶臭。</t>
        </is>
      </c>
    </row>
    <row r="989">
      <c r="A989" t="inlineStr"/>
      <c r="B989" t="inlineStr"/>
      <c r="C989" t="inlineStr">
        <is>
          <t>BAG</t>
        </is>
      </c>
      <c r="D989">
        <f>U989</f>
        <v/>
      </c>
      <c r="E989" t="n">
        <v>1123323</v>
      </c>
      <c r="F989" t="inlineStr">
        <is>
          <t>MESH GEAR PACK 50</t>
        </is>
      </c>
      <c r="G989" t="inlineStr">
        <is>
          <t>BK</t>
        </is>
      </c>
      <c r="J989" t="n">
        <v>2700</v>
      </c>
      <c r="K989" t="inlineStr">
        <is>
          <t>◎ 尺寸：55x40x27cm、重量：680g、容量：50L。
◎ 材質：210D抗撕裂尼龍背板、尼龍網布（浸漬加工）、底部900D聚酯纖維帆布（PU塗層）。
◎ 快速排水，適合收納各種水上活動潮濕物品，透氣設計裝備不悶臭。</t>
        </is>
      </c>
    </row>
    <row r="990">
      <c r="A990" t="inlineStr"/>
      <c r="B990" t="inlineStr"/>
      <c r="C990" t="inlineStr">
        <is>
          <t>BAG</t>
        </is>
      </c>
      <c r="D990">
        <f>U990</f>
        <v/>
      </c>
      <c r="E990" t="n">
        <v>1133373</v>
      </c>
      <c r="F990" t="inlineStr">
        <is>
          <t>MINI ZIP WALLET</t>
        </is>
      </c>
      <c r="G990" t="inlineStr">
        <is>
          <t>BK      GN      GY      NV      PU      YL</t>
        </is>
      </c>
      <c r="H990" t="inlineStr">
        <is>
          <t>GY</t>
        </is>
      </c>
      <c r="J990" t="n">
        <v>540</v>
      </c>
      <c r="K990" t="inlineStr">
        <is>
          <t>◎ 尺寸：6.3x11cm、重量：31gm。
◎ 材質：210D Ballistic® 輕量強度抗撕裂表布。
◎ 結構簡單可收納鈔票、硬幣及卡片的迷你輕量皮夾，開口有拉鍊閉合，適合隨身攜帶。</t>
        </is>
      </c>
    </row>
    <row r="991">
      <c r="A991" t="inlineStr"/>
      <c r="B991" t="inlineStr"/>
      <c r="C991" t="inlineStr">
        <is>
          <t>BAG</t>
        </is>
      </c>
      <c r="D991">
        <f>U991</f>
        <v/>
      </c>
      <c r="E991" t="n">
        <v>1133401</v>
      </c>
      <c r="F991" t="inlineStr">
        <is>
          <t>MOBILE DRY POUCH L</t>
        </is>
      </c>
      <c r="G991" t="inlineStr">
        <is>
          <t>BK</t>
        </is>
      </c>
      <c r="J991" t="n">
        <v>940</v>
      </c>
      <c r="K991" t="inlineStr">
        <is>
          <t>◎ 尺寸：21.5x15.7cm、重量：43g、適用手機尺寸：17.5x9x1cm。
◎ 主要材質TPU薄膜/部分420D尼龍/TPU層壓材質。防水標準IPX8，度防水的軟袋。可將智慧型手機放在裡面操作。</t>
        </is>
      </c>
    </row>
    <row r="992">
      <c r="A992" t="inlineStr"/>
      <c r="B992" t="inlineStr"/>
      <c r="C992" t="inlineStr">
        <is>
          <t>BAG</t>
        </is>
      </c>
      <c r="D992">
        <f>U992</f>
        <v/>
      </c>
      <c r="E992" t="n">
        <v>1133400</v>
      </c>
      <c r="F992" t="inlineStr">
        <is>
          <t>MOBILE DRY POUCH M</t>
        </is>
      </c>
      <c r="G992" t="inlineStr">
        <is>
          <t>BK</t>
        </is>
      </c>
      <c r="J992" t="n">
        <v>830</v>
      </c>
      <c r="K992" t="inlineStr">
        <is>
          <t>◎ 尺寸：20x14.2cm、重量：38g、適用手機尺寸：16.5x8x1cm。
◎ 主要材質TPU薄膜/部分420D尼龍/TPU層壓材質。防水標準IPX8，度防水的軟袋。可將智慧型手機放在裡面操作。</t>
        </is>
      </c>
    </row>
    <row r="993">
      <c r="A993" t="inlineStr">
        <is>
          <t>27SS</t>
        </is>
      </c>
      <c r="B993" t="inlineStr">
        <is>
          <t>27SS</t>
        </is>
      </c>
      <c r="C993" t="inlineStr">
        <is>
          <t>BAG</t>
        </is>
      </c>
      <c r="D993">
        <f>U993</f>
        <v/>
      </c>
      <c r="E993" t="n">
        <v>1133601</v>
      </c>
      <c r="F993" t="inlineStr">
        <is>
          <t>NAME CARD CASE</t>
        </is>
      </c>
      <c r="G993" t="inlineStr">
        <is>
          <t>BK      DGN      DNV</t>
        </is>
      </c>
      <c r="H993" t="inlineStr">
        <is>
          <t>DGN</t>
        </is>
      </c>
      <c r="J993" t="n">
        <v>470</v>
      </c>
      <c r="K993" t="inlineStr">
        <is>
          <t>◎ 名片夾每面可放置10張。
◎ 表布：330D Ballistic®ULTRA超輕量抗撕裂尼龍布(聚氨酯塗層)。</t>
        </is>
      </c>
    </row>
    <row r="994">
      <c r="A994" t="inlineStr"/>
      <c r="B994" t="inlineStr"/>
      <c r="C994" t="inlineStr">
        <is>
          <t>BAG</t>
        </is>
      </c>
      <c r="D994">
        <f>U994</f>
        <v/>
      </c>
      <c r="E994" t="n">
        <v>1133108</v>
      </c>
      <c r="F994" t="inlineStr">
        <is>
          <t>PASSPORT POUCH</t>
        </is>
      </c>
      <c r="G994" t="inlineStr">
        <is>
          <t>BK      LTKH</t>
        </is>
      </c>
      <c r="H994" t="inlineStr">
        <is>
          <t>LTKH</t>
        </is>
      </c>
      <c r="J994" t="n">
        <v>790</v>
      </c>
      <c r="K994" t="inlineStr">
        <is>
          <t>◎ 尺寸：15.5X13cm、重量：27g。
◎ 可掛頸或充當腰包的護照夾。
◎ 表布：70D抗撕裂尼龍布，後側：3D MESH透氣網布。</t>
        </is>
      </c>
    </row>
    <row r="995">
      <c r="A995" t="inlineStr"/>
      <c r="B995" t="inlineStr"/>
      <c r="C995" t="inlineStr">
        <is>
          <t>BAG</t>
        </is>
      </c>
      <c r="D995">
        <f>U995</f>
        <v/>
      </c>
      <c r="E995" t="n">
        <v>1133595</v>
      </c>
      <c r="F995" t="inlineStr">
        <is>
          <t>POCKETABLE LIGHT BANANA POUCH</t>
        </is>
      </c>
      <c r="G995" t="inlineStr">
        <is>
          <t>BK      CN1      LGY      YL</t>
        </is>
      </c>
      <c r="H995" t="inlineStr">
        <is>
          <t>BK</t>
        </is>
      </c>
      <c r="J995" t="n">
        <v>870</v>
      </c>
      <c r="K995" t="inlineStr">
        <is>
          <t>◎ 材質：70D 抗撕裂尼龍(聚氨酯塗層)。
◎ 容量可擴充的輕便腰包，輕便折收。可收納在前置口袋內，適合旅遊時收納隨身攜帶物品。</t>
        </is>
      </c>
    </row>
    <row r="996">
      <c r="A996" t="inlineStr"/>
      <c r="B996" t="inlineStr"/>
      <c r="C996" t="inlineStr">
        <is>
          <t>BAG</t>
        </is>
      </c>
      <c r="D996">
        <f>U996</f>
        <v/>
      </c>
      <c r="E996" t="n">
        <v>1133594</v>
      </c>
      <c r="F996" t="inlineStr">
        <is>
          <t>POCKETABLE LIGHT POUCH M</t>
        </is>
      </c>
      <c r="G996" t="inlineStr">
        <is>
          <t>BK      BRC      DNV      GN</t>
        </is>
      </c>
      <c r="H996" t="inlineStr">
        <is>
          <t>BRC</t>
        </is>
      </c>
      <c r="J996" t="n">
        <v>800</v>
      </c>
      <c r="K996" t="inlineStr">
        <is>
          <t>◎ 材質：70D 抗撕裂尼龍(聚氨酯塗層)。
◎ 輕便腰包，輕便折收可收納在前置口袋內，最適合旅遊時收納隨身攜帶物品。</t>
        </is>
      </c>
    </row>
    <row r="997">
      <c r="A997" t="inlineStr"/>
      <c r="B997" t="inlineStr"/>
      <c r="C997" t="inlineStr">
        <is>
          <t>BAG</t>
        </is>
      </c>
      <c r="D997">
        <f>U997</f>
        <v/>
      </c>
      <c r="E997" t="n">
        <v>1133593</v>
      </c>
      <c r="F997" t="inlineStr">
        <is>
          <t>POCKETABLE LIGHT POUCH S</t>
        </is>
      </c>
      <c r="G997" t="inlineStr">
        <is>
          <t>BK      BRC      CN1      KBN      LGY</t>
        </is>
      </c>
      <c r="H997" t="inlineStr">
        <is>
          <t>BK</t>
        </is>
      </c>
      <c r="J997" t="n">
        <v>770</v>
      </c>
      <c r="K997" t="inlineStr">
        <is>
          <t>◎  材質：70D 抗撕裂尼龍(聚氨酯塗層)。
◎ 輕便腰包，輕便折收可收納在前置口袋內，最適合旅遊時收納隨身攜帶物品。</t>
        </is>
      </c>
    </row>
    <row r="998">
      <c r="A998" t="inlineStr"/>
      <c r="B998" t="inlineStr"/>
      <c r="C998" t="inlineStr">
        <is>
          <t>BAG</t>
        </is>
      </c>
      <c r="D998">
        <f>U998</f>
        <v/>
      </c>
      <c r="E998" t="n">
        <v>1133589</v>
      </c>
      <c r="F998" t="inlineStr">
        <is>
          <t>POCKETABLE LIGHT SHOULDER BAG L</t>
        </is>
      </c>
      <c r="G998" t="inlineStr">
        <is>
          <t>BK      DNV      KBN</t>
        </is>
      </c>
      <c r="H998" t="inlineStr">
        <is>
          <t>DNV</t>
        </is>
      </c>
      <c r="J998" t="n">
        <v>1400</v>
      </c>
      <c r="K998" t="inlineStr">
        <is>
          <t>◎  材質：70D 抗撕裂尼龍(聚氨酯塗層)。
◎mont-bell經典的輕便折收肩包，一般旅遊用外，亦適用當攻頂包或購物袋。</t>
        </is>
      </c>
    </row>
    <row r="999">
      <c r="A999" t="inlineStr"/>
      <c r="B999" t="inlineStr"/>
      <c r="C999" t="inlineStr">
        <is>
          <t>BAG</t>
        </is>
      </c>
      <c r="D999">
        <f>U999</f>
        <v/>
      </c>
      <c r="E999" t="n">
        <v>1133588</v>
      </c>
      <c r="F999" t="inlineStr">
        <is>
          <t>POCKETABLE LIGHT SHOULDER BAG M</t>
        </is>
      </c>
      <c r="G999" t="inlineStr">
        <is>
          <t>BK      BRC      DGN      LGY</t>
        </is>
      </c>
      <c r="H999" t="inlineStr">
        <is>
          <t>BRC</t>
        </is>
      </c>
      <c r="J999" t="n">
        <v>1240</v>
      </c>
      <c r="K999" t="inlineStr">
        <is>
          <t>◎ 材質：70D 抗撕裂尼龍(聚氨酯塗層)。
◎ mont-bell經典的輕便折收肩包，一般旅遊用外，亦適用當攻頂包或購物袋。</t>
        </is>
      </c>
    </row>
    <row r="1000">
      <c r="A1000" t="inlineStr"/>
      <c r="B1000" t="inlineStr"/>
      <c r="C1000" t="inlineStr">
        <is>
          <t>BAG</t>
        </is>
      </c>
      <c r="D1000">
        <f>U1000</f>
        <v/>
      </c>
      <c r="E1000" t="n">
        <v>1133587</v>
      </c>
      <c r="F1000" t="inlineStr">
        <is>
          <t>POCKETABLE LIGHT SHOULDER BAG S</t>
        </is>
      </c>
      <c r="G1000" t="inlineStr">
        <is>
          <t>BK      BRC      CN1      DNV      LGY      YL</t>
        </is>
      </c>
      <c r="H1000" t="inlineStr">
        <is>
          <t>BK</t>
        </is>
      </c>
      <c r="J1000" t="n">
        <v>1190</v>
      </c>
      <c r="K1000" t="inlineStr">
        <is>
          <t>◎ 材質：70D 抗撕裂尼龍(聚氨酯塗層)。
◎ mont-bell經典的輕便折收肩包，一般旅遊用外，亦適用當攻頂包或購物袋。</t>
        </is>
      </c>
    </row>
    <row r="1001">
      <c r="A1001" t="inlineStr"/>
      <c r="B1001" t="inlineStr"/>
      <c r="C1001" t="inlineStr">
        <is>
          <t>BAG</t>
        </is>
      </c>
      <c r="D1001">
        <f>U1001</f>
        <v/>
      </c>
      <c r="E1001" t="n">
        <v>1133592</v>
      </c>
      <c r="F1001" t="inlineStr">
        <is>
          <t>POCKETABLE LIGHT TOTE L</t>
        </is>
      </c>
      <c r="G1001" t="inlineStr">
        <is>
          <t>BK      BRC      KBN</t>
        </is>
      </c>
      <c r="H1001" t="inlineStr">
        <is>
          <t>KBN</t>
        </is>
      </c>
      <c r="J1001" t="n">
        <v>1490</v>
      </c>
      <c r="K1001" t="inlineStr">
        <is>
          <t>◎ 材質：70D 抗撕裂尼龍(聚氨酯塗層)。
◎ 開口有防掉落抽繩、側邊網袋，可將口袋翻過來收納。適合旅遊或當環保購物袋。</t>
        </is>
      </c>
    </row>
    <row r="1002">
      <c r="A1002" t="inlineStr"/>
      <c r="B1002" t="inlineStr"/>
      <c r="C1002" t="inlineStr">
        <is>
          <t>BAG</t>
        </is>
      </c>
      <c r="D1002">
        <f>U1002</f>
        <v/>
      </c>
      <c r="E1002" t="n">
        <v>1133591</v>
      </c>
      <c r="F1002" t="inlineStr">
        <is>
          <t>POCKETABLE LIGHT TOTE M</t>
        </is>
      </c>
      <c r="G1002" t="inlineStr">
        <is>
          <t>BK      DNV      GN      LGY      YL</t>
        </is>
      </c>
      <c r="H1002" t="inlineStr">
        <is>
          <t>BK</t>
        </is>
      </c>
      <c r="J1002" t="n">
        <v>1340</v>
      </c>
      <c r="K1002" t="inlineStr">
        <is>
          <t>◎ 材質：70D 抗撕裂尼龍(聚氨酯塗層)。
◎ 開口有防掉落抽繩、側邊網袋，可將口袋翻過來收納。適合旅遊或當環保購物袋。</t>
        </is>
      </c>
    </row>
    <row r="1003">
      <c r="A1003" t="inlineStr"/>
      <c r="B1003" t="inlineStr"/>
      <c r="C1003" t="inlineStr">
        <is>
          <t>BAG</t>
        </is>
      </c>
      <c r="D1003">
        <f>U1003</f>
        <v/>
      </c>
      <c r="E1003" t="n">
        <v>1133590</v>
      </c>
      <c r="F1003" t="inlineStr">
        <is>
          <t>POCKETABLE LIGHT TOTE S</t>
        </is>
      </c>
      <c r="G1003" t="inlineStr">
        <is>
          <t>BK      BRC      CN      DGN      DNV      LGY</t>
        </is>
      </c>
      <c r="H1003" t="inlineStr">
        <is>
          <t>LGY</t>
        </is>
      </c>
      <c r="J1003" t="n">
        <v>1240</v>
      </c>
      <c r="K1003" t="inlineStr">
        <is>
          <t>◎ 材質：70D 抗撕裂尼龍(聚氨酯塗層)。
◎ 開口有防掉落抽繩、側邊網袋，可將口袋翻過來收納。適合旅遊或當環保購物袋。</t>
        </is>
      </c>
    </row>
    <row r="1004">
      <c r="A1004" t="inlineStr">
        <is>
          <t>27SS</t>
        </is>
      </c>
      <c r="B1004" t="inlineStr">
        <is>
          <t>27SS</t>
        </is>
      </c>
      <c r="C1004" t="inlineStr">
        <is>
          <t>BAG</t>
        </is>
      </c>
      <c r="D1004">
        <f>U1004</f>
        <v/>
      </c>
      <c r="E1004" t="n">
        <v>1133586</v>
      </c>
      <c r="F1004" t="inlineStr">
        <is>
          <t>POCKETABLE LIGHT TOTE SHOULDER BAG M</t>
        </is>
      </c>
      <c r="G1004" t="inlineStr">
        <is>
          <t>BK      CN1      KBN      LGY</t>
        </is>
      </c>
      <c r="H1004" t="inlineStr">
        <is>
          <t>BK</t>
        </is>
      </c>
      <c r="J1004" t="n">
        <v>1430</v>
      </c>
      <c r="K1004" t="inlineStr">
        <is>
          <t>◎ 尺寸：35x35x15cm、容量：18L。
◎ 材質：70D聚氨酯塗層尼龍布。
◎ 右側設有網狀口袋，可放置折疊傘、水瓶等物品。</t>
        </is>
      </c>
    </row>
    <row r="1005">
      <c r="A1005" t="inlineStr">
        <is>
          <t>27SS</t>
        </is>
      </c>
      <c r="B1005" t="inlineStr">
        <is>
          <t>27SS</t>
        </is>
      </c>
      <c r="C1005" t="inlineStr">
        <is>
          <t>BAG</t>
        </is>
      </c>
      <c r="D1005">
        <f>U1005</f>
        <v/>
      </c>
      <c r="E1005" t="n">
        <v>1133585</v>
      </c>
      <c r="F1005" t="inlineStr">
        <is>
          <t>POCKETABLE LIGHT TOTE SHOULDER BAG S</t>
        </is>
      </c>
      <c r="G1005" t="inlineStr">
        <is>
          <t>BK      BRC      DNV      GN      YL</t>
        </is>
      </c>
      <c r="H1005" t="inlineStr">
        <is>
          <t>BRC</t>
        </is>
      </c>
      <c r="J1005" t="n">
        <v>1350</v>
      </c>
      <c r="K1005" t="inlineStr">
        <is>
          <t>◎ 容量：12L。
◎ 材質：70D聚氨酯塗層尼龍布。
◎ 右側設有網狀口袋，可放置折疊傘、水瓶等物品。</t>
        </is>
      </c>
    </row>
    <row r="1006">
      <c r="A1006" t="inlineStr"/>
      <c r="B1006" t="inlineStr"/>
      <c r="C1006" t="inlineStr">
        <is>
          <t>BAG</t>
        </is>
      </c>
      <c r="D1006">
        <f>U1006</f>
        <v/>
      </c>
      <c r="E1006" t="n">
        <v>1133348</v>
      </c>
      <c r="F1006" t="inlineStr">
        <is>
          <t>ROLL-UP DRY CONTAINER</t>
        </is>
      </c>
      <c r="G1006" t="inlineStr">
        <is>
          <t>GM</t>
        </is>
      </c>
      <c r="J1006" t="n">
        <v>3780</v>
      </c>
      <c r="K1006" t="inlineStr">
        <is>
          <t>◎ 尺寸：29x9x36cm、重量：620g、容量：60L。
◎ 材質：420D/840D聚氨酯塗層尼龍布。
◎ 大容量旅行袋，可穿繩固定於單車、摩托車上。</t>
        </is>
      </c>
    </row>
    <row r="1007">
      <c r="A1007" t="inlineStr"/>
      <c r="B1007" t="inlineStr"/>
      <c r="C1007" t="inlineStr">
        <is>
          <t>BAG</t>
        </is>
      </c>
      <c r="D1007">
        <f>U1007</f>
        <v/>
      </c>
      <c r="E1007" t="n">
        <v>1133347</v>
      </c>
      <c r="F1007" t="inlineStr">
        <is>
          <t>ROLL-UP DRY DUFFLE BAG L</t>
        </is>
      </c>
      <c r="G1007" t="inlineStr">
        <is>
          <t>GM</t>
        </is>
      </c>
      <c r="J1007" t="n">
        <v>4680</v>
      </c>
      <c r="K1007" t="inlineStr">
        <is>
          <t>◎ 尺寸：30x58x32cm、重量：695g、容量：55L。
◎ 材質：420D/840D聚氨酯塗層尼龍布。
◎ 大容量旅行袋，可穿繩固定於單車、摩托車上。</t>
        </is>
      </c>
    </row>
    <row r="1008">
      <c r="A1008" t="inlineStr"/>
      <c r="B1008" t="inlineStr"/>
      <c r="C1008" t="inlineStr">
        <is>
          <t>BAG</t>
        </is>
      </c>
      <c r="D1008">
        <f>U1008</f>
        <v/>
      </c>
      <c r="E1008" t="n">
        <v>1133346</v>
      </c>
      <c r="F1008" t="inlineStr">
        <is>
          <t>ROLL-UP DRY DUFFLE BAG M</t>
        </is>
      </c>
      <c r="G1008" t="inlineStr">
        <is>
          <t>GM</t>
        </is>
      </c>
      <c r="J1008" t="n">
        <v>4320</v>
      </c>
      <c r="K1008" t="inlineStr">
        <is>
          <t>◎ 尺寸：30x51x24cm、重量：615g、容量：40L。
◎ 材質：420D/840D聚氨酯塗層尼龍布。
◎ 大容量旅行袋，可穿繩固定於單車、摩托車上。</t>
        </is>
      </c>
    </row>
    <row r="1009">
      <c r="A1009" t="inlineStr"/>
      <c r="B1009" t="inlineStr"/>
      <c r="C1009" t="inlineStr">
        <is>
          <t>BAG</t>
        </is>
      </c>
      <c r="D1009">
        <f>U1009</f>
        <v/>
      </c>
      <c r="E1009" t="n">
        <v>1133617</v>
      </c>
      <c r="F1009" t="inlineStr">
        <is>
          <t>ROLL-UP DRY SHOULDER BAG</t>
        </is>
      </c>
      <c r="G1009" t="inlineStr">
        <is>
          <t>CN      DGY      LGY      RD      YL</t>
        </is>
      </c>
      <c r="H1009" t="inlineStr">
        <is>
          <t>YL</t>
        </is>
      </c>
      <c r="J1009" t="n">
        <v>1050</v>
      </c>
      <c r="K1009" t="inlineStr">
        <is>
          <t>◎ 表布：70D HYDROPRO®尼龍(HYDROPRO 塗層)，內裡：3D網布。開口可捲收的單肩包，具防水功能。</t>
        </is>
      </c>
    </row>
    <row r="1010">
      <c r="A1010" t="inlineStr"/>
      <c r="B1010" t="inlineStr"/>
      <c r="C1010" t="inlineStr">
        <is>
          <t>BAG</t>
        </is>
      </c>
      <c r="D1010">
        <f>U1010</f>
        <v/>
      </c>
      <c r="E1010" t="n">
        <v>1133109</v>
      </c>
      <c r="F1010" t="inlineStr">
        <is>
          <t>SECURITY BELT</t>
        </is>
      </c>
      <c r="G1010" t="inlineStr">
        <is>
          <t>BK      LTKH</t>
        </is>
      </c>
      <c r="H1010" t="inlineStr">
        <is>
          <t>BK</t>
        </is>
      </c>
      <c r="J1010" t="n">
        <v>890</v>
      </c>
      <c r="K1010" t="inlineStr">
        <is>
          <t>◎ 尺寸：13x24.5cm、重量：47g、適用腰圍尺寸至99cm。
◎ 表布：70D抗撕裂尼龍布，後側：3D MESH透氣網布。
◎ 可腰掛或肩背，貼身處排汗網布設計透氣舒適。</t>
        </is>
      </c>
    </row>
    <row r="1011">
      <c r="A1011" t="inlineStr"/>
      <c r="B1011" t="inlineStr"/>
      <c r="C1011" t="inlineStr">
        <is>
          <t>BAG</t>
        </is>
      </c>
      <c r="D1011">
        <f>U1011</f>
        <v/>
      </c>
      <c r="E1011" t="n">
        <v>1133370</v>
      </c>
      <c r="F1011" t="inlineStr">
        <is>
          <t>SIMPLE FLAT WALLET</t>
        </is>
      </c>
      <c r="G1011" t="inlineStr">
        <is>
          <t>BK      GN      GY      NV      PU      YL</t>
        </is>
      </c>
      <c r="H1011" t="inlineStr">
        <is>
          <t>PU      YL      GN</t>
        </is>
      </c>
      <c r="J1011" t="n">
        <v>650</v>
      </c>
      <c r="K1011" t="inlineStr">
        <is>
          <t>◎ 尺寸：9.2x10.8cm、重量：22g。
◎ 材質：210D Ballistic®超輕量抗撕裂表布。可置放紙幣、卡片。獨特的結構可防止卡片彎曲斷裂。</t>
        </is>
      </c>
    </row>
    <row r="1012">
      <c r="A1012" t="inlineStr"/>
      <c r="B1012" t="inlineStr"/>
      <c r="C1012" t="inlineStr">
        <is>
          <t>BAG</t>
        </is>
      </c>
      <c r="D1012">
        <f>U1012</f>
        <v/>
      </c>
      <c r="E1012" t="n">
        <v>1133599</v>
      </c>
      <c r="F1012" t="inlineStr">
        <is>
          <t>SLIM WALLET</t>
        </is>
      </c>
      <c r="G1012" t="inlineStr">
        <is>
          <t>BK      IV      KGN      NV      OG      YL</t>
        </is>
      </c>
      <c r="H1012" t="inlineStr">
        <is>
          <t>KGN</t>
        </is>
      </c>
      <c r="J1012" t="n">
        <v>510</v>
      </c>
      <c r="K1012" t="inlineStr">
        <is>
          <t>◎ 材質：420D抗撕裂尼龍布。簡單的錢包可置放紙幣、卡片及一個網狀零錢袋。</t>
        </is>
      </c>
    </row>
    <row r="1013">
      <c r="A1013" t="inlineStr"/>
      <c r="B1013" t="inlineStr"/>
      <c r="C1013" t="inlineStr">
        <is>
          <t>BAG</t>
        </is>
      </c>
      <c r="D1013">
        <f>U1013</f>
        <v/>
      </c>
      <c r="E1013" t="n">
        <v>1133198</v>
      </c>
      <c r="F1013" t="inlineStr">
        <is>
          <t>TRAIL LUMBAR PACK 4</t>
        </is>
      </c>
      <c r="G1013" t="inlineStr">
        <is>
          <t>BK      GARN      RBL      THYM</t>
        </is>
      </c>
      <c r="H1013" t="inlineStr">
        <is>
          <t>GARN</t>
        </is>
      </c>
      <c r="J1013" t="n">
        <v>1800</v>
      </c>
      <c r="K1013" t="inlineStr">
        <is>
          <t>◎ 尺寸：19x27x12cm、重量：250g、容量：4L、適用腰圍尺寸至105cm。
◎ 表布：100D Ballistic®超輕量抗撕裂表布。
◎ 輕量、多用途運動腰包。</t>
        </is>
      </c>
    </row>
    <row r="1014">
      <c r="A1014" t="inlineStr"/>
      <c r="B1014" t="inlineStr"/>
      <c r="C1014" t="inlineStr">
        <is>
          <t>BAG</t>
        </is>
      </c>
      <c r="D1014">
        <f>U1014</f>
        <v/>
      </c>
      <c r="E1014" t="n">
        <v>1133199</v>
      </c>
      <c r="F1014" t="inlineStr">
        <is>
          <t>TRAIL LUMBAR PACK 7</t>
        </is>
      </c>
      <c r="G1014" t="inlineStr">
        <is>
          <t>BK      DKNV      THYM</t>
        </is>
      </c>
      <c r="H1014" t="inlineStr">
        <is>
          <t>THYM</t>
        </is>
      </c>
      <c r="J1014" t="n">
        <v>1910</v>
      </c>
      <c r="K1014" t="inlineStr">
        <is>
          <t>◎ 尺寸：22x30x15cm、重量：276g、容量：7L、適用腰圍至105cm。
◎ 表布：100D Ballistic®超輕量抗撕裂表布。
◎ 輕量、多用途運動腰包。</t>
        </is>
      </c>
    </row>
    <row r="1015">
      <c r="A1015" t="inlineStr"/>
      <c r="B1015" t="inlineStr"/>
      <c r="C1015" t="inlineStr">
        <is>
          <t>BAG</t>
        </is>
      </c>
      <c r="D1015">
        <f>U1015</f>
        <v/>
      </c>
      <c r="E1015" t="n">
        <v>1133247</v>
      </c>
      <c r="F1015" t="inlineStr">
        <is>
          <t>TRAIL PASSPORT CASE</t>
        </is>
      </c>
      <c r="G1015" t="inlineStr">
        <is>
          <t>BK      DKNV      OGRD</t>
        </is>
      </c>
      <c r="J1015" t="n">
        <v>420</v>
      </c>
      <c r="K1015" t="inlineStr">
        <is>
          <t>◎ 尺寸：14 x  9.5cm
◎ 表布：330D Ballistic® ULTRA超輕量抗撕裂表布。
◎ 多功能錢包，可以存放護照、紙幣和信用卡。</t>
        </is>
      </c>
    </row>
    <row r="1016">
      <c r="A1016" t="inlineStr"/>
      <c r="B1016" t="inlineStr"/>
      <c r="C1016" t="inlineStr">
        <is>
          <t>BAG</t>
        </is>
      </c>
      <c r="D1016">
        <f>U1016</f>
        <v/>
      </c>
      <c r="E1016" t="n">
        <v>1133556</v>
      </c>
      <c r="F1016" t="inlineStr">
        <is>
          <t>TRAVEL KIT PACK L</t>
        </is>
      </c>
      <c r="G1016" t="inlineStr">
        <is>
          <t>BGN      BK      OG      TN</t>
        </is>
      </c>
      <c r="H1016" t="inlineStr">
        <is>
          <t>TN</t>
        </is>
      </c>
      <c r="J1016" t="n">
        <v>770</v>
      </c>
      <c r="K1016" t="inlineStr">
        <is>
          <t>◎ 尺寸：15x21x7cm、重量：80g。
◎ 材質：70D尼龍防撕裂布。
◎ 多功能可收納各種小物品的盥洗包。</t>
        </is>
      </c>
    </row>
    <row r="1017">
      <c r="A1017" t="inlineStr"/>
      <c r="B1017" t="inlineStr"/>
      <c r="C1017" t="inlineStr">
        <is>
          <t>BAG</t>
        </is>
      </c>
      <c r="D1017">
        <f>U1017</f>
        <v/>
      </c>
      <c r="E1017" t="n">
        <v>1133555</v>
      </c>
      <c r="F1017" t="inlineStr">
        <is>
          <t>TRAVEL KIT PACK M</t>
        </is>
      </c>
      <c r="G1017" t="inlineStr">
        <is>
          <t>BGN      BK      OG      TN</t>
        </is>
      </c>
      <c r="H1017" t="inlineStr">
        <is>
          <t>BGN</t>
        </is>
      </c>
      <c r="J1017" t="n">
        <v>710</v>
      </c>
      <c r="K1017" t="inlineStr">
        <is>
          <t>◎ 尺寸：10.5x21x6.5cm、重量：65g。
◎ 材質：70D尼龍防撕裂布。
◎ 多功能可收納各種小物品的盥洗包。</t>
        </is>
      </c>
    </row>
    <row r="1018">
      <c r="A1018" t="inlineStr"/>
      <c r="B1018" t="inlineStr"/>
      <c r="C1018" t="inlineStr">
        <is>
          <t>BAG</t>
        </is>
      </c>
      <c r="D1018">
        <f>U1018</f>
        <v/>
      </c>
      <c r="E1018" t="n">
        <v>1133452</v>
      </c>
      <c r="F1018" t="inlineStr">
        <is>
          <t>TRAVEL TOUGH POUCH L</t>
        </is>
      </c>
      <c r="G1018" t="inlineStr">
        <is>
          <t>DGN      DGY      NV      TN</t>
        </is>
      </c>
      <c r="J1018" t="n">
        <v>1910</v>
      </c>
      <c r="K1018" t="inlineStr">
        <is>
          <t>◎ 尺寸：20x30x9.5cm、重量：270g、容量：5L。
◎ 材質：420D Ballistic®抗撕裂尼龍布。
◎ 適合旅行用的多功能包，背部有一隱藏的口袋,可放護照或錢包。</t>
        </is>
      </c>
    </row>
    <row r="1019">
      <c r="A1019" t="inlineStr"/>
      <c r="B1019" t="inlineStr"/>
      <c r="C1019" t="inlineStr">
        <is>
          <t>BAG</t>
        </is>
      </c>
      <c r="D1019">
        <f>U1019</f>
        <v/>
      </c>
      <c r="E1019" t="n">
        <v>1133453</v>
      </c>
      <c r="F1019" t="inlineStr">
        <is>
          <t>TRAVEL TOUGH SHOULDER BAG</t>
        </is>
      </c>
      <c r="G1019" t="inlineStr">
        <is>
          <t>DGN      DGY      NV      TN</t>
        </is>
      </c>
      <c r="J1019" t="n">
        <v>1800</v>
      </c>
      <c r="K1019" t="inlineStr">
        <is>
          <t>◎ 尺寸：24x20x7cm、重量：240g、容量：3L。
◎ 材質：420D Ballistic®抗撕裂尼龍布。
◎ 一款立式的單肩包，適合旅行用，背部有一隱藏的口袋,可放護照或錢包。</t>
        </is>
      </c>
    </row>
    <row r="1020">
      <c r="A1020" t="inlineStr"/>
      <c r="B1020" t="inlineStr"/>
      <c r="C1020" t="inlineStr">
        <is>
          <t>BAG</t>
        </is>
      </c>
      <c r="D1020">
        <f>U1020</f>
        <v/>
      </c>
      <c r="E1020" t="n">
        <v>1123894</v>
      </c>
      <c r="F1020" t="inlineStr">
        <is>
          <t>TRAVEL WALLET</t>
        </is>
      </c>
      <c r="G1020" t="inlineStr">
        <is>
          <t>BK      DKFS      KHBN      NV</t>
        </is>
      </c>
      <c r="H1020" t="inlineStr">
        <is>
          <t>NV</t>
        </is>
      </c>
      <c r="J1020" t="n">
        <v>1100</v>
      </c>
      <c r="K1020" t="inlineStr">
        <is>
          <t>◎ 尺寸：22x15cm、重量：111g。
◎ 表布：330D抗撕裂尼龍布，內裡：70D 抗撕裂尼龍布。
◎ 多功旅行包，可收納旅行所需的小物件。可以存放護照、機票、紙幣和信用卡，可腰掛或肩背。</t>
        </is>
      </c>
    </row>
    <row r="1021">
      <c r="A1021" t="inlineStr"/>
      <c r="B1021" t="inlineStr"/>
      <c r="C1021" t="inlineStr">
        <is>
          <t>BAG</t>
        </is>
      </c>
      <c r="D1021">
        <f>U1021</f>
        <v/>
      </c>
      <c r="E1021" t="n">
        <v>1133106</v>
      </c>
      <c r="F1021" t="inlineStr">
        <is>
          <t>TRI PACK 30</t>
        </is>
      </c>
      <c r="G1021" t="inlineStr">
        <is>
          <t>BK      KHGN      NV</t>
        </is>
      </c>
      <c r="H1021" t="inlineStr">
        <is>
          <t>KHGN</t>
        </is>
      </c>
      <c r="J1021" t="n">
        <v>5580</v>
      </c>
      <c r="K1021" t="inlineStr">
        <is>
          <t>◎ 尺寸：50x33x20cm 、重量：907g、容量：30L。
◎ 表布：330D Ballistic®ULTRA超輕量抗撕裂表布，內裡：70D抗撕裂尼龍布。
◎ 三種背負方式，亦可當登機的背包（但還須視各航空公司規定）。</t>
        </is>
      </c>
    </row>
    <row r="1022">
      <c r="A1022" t="inlineStr"/>
      <c r="B1022" t="inlineStr"/>
      <c r="C1022" t="inlineStr">
        <is>
          <t>BAG</t>
        </is>
      </c>
      <c r="D1022">
        <f>U1022</f>
        <v/>
      </c>
      <c r="E1022" t="n">
        <v>1133107</v>
      </c>
      <c r="F1022" t="inlineStr">
        <is>
          <t>TRI PACK 45</t>
        </is>
      </c>
      <c r="G1022" t="inlineStr">
        <is>
          <t>BK      KHGN      NV</t>
        </is>
      </c>
      <c r="H1022" t="inlineStr">
        <is>
          <t>NV</t>
        </is>
      </c>
      <c r="J1022" t="n">
        <v>5940</v>
      </c>
      <c r="K1022" t="inlineStr">
        <is>
          <t>◎ 尺寸：55x36x24cm、重量：1010g、容量：45L。
◎ 表布：330D Ballistic®ULTRA超輕量抗撕裂表布，內裡：70D抗撕裂尼龍布。
◎ 三種背負方式，亦可當登機的背包（視各航空公司規定）。</t>
        </is>
      </c>
    </row>
    <row r="1023">
      <c r="A1023" t="inlineStr"/>
      <c r="B1023" t="inlineStr"/>
      <c r="C1023" t="inlineStr">
        <is>
          <t>BAG</t>
        </is>
      </c>
      <c r="D1023">
        <f>U1023</f>
        <v/>
      </c>
      <c r="E1023" t="n">
        <v>1133188</v>
      </c>
      <c r="F1023" t="inlineStr">
        <is>
          <t>TRI PACK MINI</t>
        </is>
      </c>
      <c r="G1023" t="inlineStr">
        <is>
          <t>BK      DKNV</t>
        </is>
      </c>
      <c r="J1023" t="n">
        <v>4300</v>
      </c>
      <c r="K1023" t="inlineStr">
        <is>
          <t>◎ 尺寸：31x42x13.5cm、重量：750g、容量：20L。表布：330D Ballistic®ULTRA超輕量抗撕裂表布、內裡：70D尼龍抗撕裂布。
◎ 可側背及後背、筆電夾層：15.4吋、主體：B4尺寸、口袋：A4尺寸、雨傘夾層。</t>
        </is>
      </c>
    </row>
    <row r="1024">
      <c r="A1024" t="inlineStr"/>
      <c r="B1024" t="inlineStr"/>
      <c r="C1024" t="inlineStr">
        <is>
          <t>BAG</t>
        </is>
      </c>
      <c r="D1024">
        <f>U1024</f>
        <v/>
      </c>
      <c r="E1024" t="n">
        <v>1123780</v>
      </c>
      <c r="F1024" t="inlineStr">
        <is>
          <t>U.L. MONO BAG L</t>
        </is>
      </c>
      <c r="G1024" t="inlineStr">
        <is>
          <t>BGY      BK      DTL      KGN      OG      PU      WT      YL</t>
        </is>
      </c>
      <c r="J1024" t="n">
        <v>1100</v>
      </c>
      <c r="K1024" t="inlineStr">
        <is>
          <t>◎ 尺寸：36x40x13cm、重量：49g、容量：19L、收納：11x10cm、。
◎ 材質：30D Ballistic®超輕量抗撕裂布。
◎ 超輕量大開口，可收納的單肩包。</t>
        </is>
      </c>
    </row>
    <row r="1025">
      <c r="A1025" t="inlineStr"/>
      <c r="B1025" t="inlineStr"/>
      <c r="C1025" t="inlineStr">
        <is>
          <t>BAG</t>
        </is>
      </c>
      <c r="D1025">
        <f>U1025</f>
        <v/>
      </c>
      <c r="E1025" t="n">
        <v>1123779</v>
      </c>
      <c r="F1025" t="inlineStr">
        <is>
          <t>U.L. MONO BAG M</t>
        </is>
      </c>
      <c r="G1025" t="inlineStr">
        <is>
          <t>BGY      BK      DTL      GN      OG      RD      WT      YL</t>
        </is>
      </c>
      <c r="J1025" t="n">
        <v>1000</v>
      </c>
      <c r="K1025" t="inlineStr">
        <is>
          <t>◎ 尺寸：36x30x13cm、 重量：44g、容量：14L、收納：10x9cm。
◎ 材質：30D Ballistic®超輕量抗撕裂布。
◎ 超輕量大開口，可收納的單肩包。</t>
        </is>
      </c>
    </row>
    <row r="1026">
      <c r="A1026" t="inlineStr"/>
      <c r="B1026" t="inlineStr"/>
      <c r="C1026" t="inlineStr">
        <is>
          <t>BAG</t>
        </is>
      </c>
      <c r="D1026">
        <f>U1026</f>
        <v/>
      </c>
      <c r="E1026" t="n">
        <v>1123778</v>
      </c>
      <c r="F1026" t="inlineStr">
        <is>
          <t>U.L. MONO POUCH M</t>
        </is>
      </c>
      <c r="G1026" t="inlineStr">
        <is>
          <t>BGY      BK      DTL      KGN      WT      YL</t>
        </is>
      </c>
      <c r="H1026" t="inlineStr">
        <is>
          <t>BK</t>
        </is>
      </c>
      <c r="J1026" t="n">
        <v>960</v>
      </c>
      <c r="K1026" t="inlineStr">
        <is>
          <t>◎ 尺寸：22x19x4.5cm、容量：1.4L、收納：9x8cm、重量：30g。
◎ 30D Siliconized Ballistic®超輕量尼龍防撕裂布。
◎ 收納體積小，開口處有拉鍊，肩帶可調整，許多繽紛的色彩可供選擇。</t>
        </is>
      </c>
    </row>
    <row r="1027">
      <c r="A1027" t="inlineStr"/>
      <c r="B1027" t="inlineStr"/>
      <c r="C1027" t="inlineStr">
        <is>
          <t>BAG</t>
        </is>
      </c>
      <c r="D1027">
        <f>U1027</f>
        <v/>
      </c>
      <c r="E1027" t="n">
        <v>1123777</v>
      </c>
      <c r="F1027" t="inlineStr">
        <is>
          <t>U.L. MONO POUCH S</t>
        </is>
      </c>
      <c r="G1027" t="inlineStr">
        <is>
          <t>BGY      BK      DTL      GN      RD      WT      YL</t>
        </is>
      </c>
      <c r="H1027" t="inlineStr">
        <is>
          <t>BK</t>
        </is>
      </c>
      <c r="J1027" t="n">
        <v>860</v>
      </c>
      <c r="K1027" t="inlineStr">
        <is>
          <t>◎ 尺寸：13.5x19x3.5cm、 容量：0.7L、 收納：9x8cm、重量：23g。
◎ 30D Siliconized Ballistic® 超輕量尼龍防撕裂布。
◎ 收納後只有手掌大小，許多繽紛的色彩可供選擇。</t>
        </is>
      </c>
    </row>
    <row r="1028">
      <c r="A1028" t="inlineStr"/>
      <c r="B1028" t="inlineStr"/>
      <c r="C1028" t="inlineStr">
        <is>
          <t>BAG</t>
        </is>
      </c>
      <c r="D1028">
        <f>U1028</f>
        <v/>
      </c>
      <c r="E1028" t="n">
        <v>1123751</v>
      </c>
      <c r="F1028" t="inlineStr">
        <is>
          <t>U.L. MONO SHOULDER BAG L</t>
        </is>
      </c>
      <c r="G1028" t="inlineStr">
        <is>
          <t>BGY      BK      KGN      OG      PU</t>
        </is>
      </c>
      <c r="J1028" t="n">
        <v>1000</v>
      </c>
      <c r="K1028" t="inlineStr">
        <is>
          <t>◎ 尺寸：25x36x7cm、 容量：4.0L、收納：11x10cm、重量：40g。
◎ 30D Siliconized Ballistic®超輕量尼龍防撕裂布。
◎ 收納體積小，開口處有拉鍊，肩帶可調整，許多繽紛的色彩可供選擇。</t>
        </is>
      </c>
    </row>
    <row r="1029">
      <c r="A1029" t="inlineStr"/>
      <c r="B1029" t="inlineStr"/>
      <c r="C1029" t="inlineStr">
        <is>
          <t>BAG</t>
        </is>
      </c>
      <c r="D1029">
        <f>U1029</f>
        <v/>
      </c>
      <c r="E1029" t="n">
        <v>1123776</v>
      </c>
      <c r="F1029" t="inlineStr">
        <is>
          <t>U.L. MONO SHOULDER BAG M</t>
        </is>
      </c>
      <c r="G1029" t="inlineStr">
        <is>
          <t>BGY      BK      KGN      OG      PU      RD</t>
        </is>
      </c>
      <c r="H1029" t="inlineStr">
        <is>
          <t>BK</t>
        </is>
      </c>
      <c r="J1029" t="n">
        <v>920</v>
      </c>
      <c r="K1029" t="inlineStr">
        <is>
          <t>◎ 尺寸：19x27x4.5cm、容量：1.7L、收納：9x8cm、重量：33g
◎ 30D Siliconized Ballistic® 超輕量尼龍防撕裂布。
◎ 收納後只有手掌大小，許多繽紛的色彩可供選擇。</t>
        </is>
      </c>
    </row>
    <row r="1030">
      <c r="A1030" t="inlineStr"/>
      <c r="B1030" t="inlineStr"/>
      <c r="C1030" t="inlineStr">
        <is>
          <t>BAG</t>
        </is>
      </c>
      <c r="D1030">
        <f>U1030</f>
        <v/>
      </c>
      <c r="E1030" t="n">
        <v>1133128</v>
      </c>
      <c r="F1030" t="inlineStr">
        <is>
          <t>U.L. STUFF BAG 0.3L</t>
        </is>
      </c>
      <c r="G1030" t="inlineStr">
        <is>
          <t>OGRD      SHAD      WT</t>
        </is>
      </c>
      <c r="J1030" t="n">
        <v>340</v>
      </c>
      <c r="K1030" t="inlineStr">
        <is>
          <t>◎ 尺寸：Φ6×11cm、重量：4g。
◎ 材質：20D Ballistic®抗撕裂尼龍布（撥水加工）。這系列超輕量收納袋共提供了五種尺寸，圓底設計避免收納死角。</t>
        </is>
      </c>
    </row>
    <row r="1031">
      <c r="A1031" t="inlineStr"/>
      <c r="B1031" t="inlineStr"/>
      <c r="C1031" t="inlineStr">
        <is>
          <t>BAG</t>
        </is>
      </c>
      <c r="D1031">
        <f>U1031</f>
        <v/>
      </c>
      <c r="E1031" t="n">
        <v>1133129</v>
      </c>
      <c r="F1031" t="inlineStr">
        <is>
          <t>U.L. STUFF BAG 0.5L</t>
        </is>
      </c>
      <c r="G1031" t="inlineStr">
        <is>
          <t>OGRD      SHAD      WT</t>
        </is>
      </c>
      <c r="J1031" t="n">
        <v>360</v>
      </c>
      <c r="K1031" t="inlineStr">
        <is>
          <t>◎ 尺寸：Φ7×13cm、重量：5g。
◎ 材質：20D Ballistic®抗撕裂尼龍布（撥水加工）。這系列超輕量收納袋共提供了五種尺寸，圓底設計避免收納死角。</t>
        </is>
      </c>
    </row>
    <row r="1032">
      <c r="A1032" t="inlineStr"/>
      <c r="B1032" t="inlineStr"/>
      <c r="C1032" t="inlineStr">
        <is>
          <t>BAG</t>
        </is>
      </c>
      <c r="D1032">
        <f>U1032</f>
        <v/>
      </c>
      <c r="E1032" t="n">
        <v>1133130</v>
      </c>
      <c r="F1032" t="inlineStr">
        <is>
          <t>U.L. STUFF BAG 1L</t>
        </is>
      </c>
      <c r="G1032" t="inlineStr">
        <is>
          <t>OGRD      SHAD      WT</t>
        </is>
      </c>
      <c r="J1032" t="n">
        <v>380</v>
      </c>
      <c r="K1032" t="inlineStr">
        <is>
          <t>◎ 尺寸：Φ9×16cm、重量：6g。
◎ 材質：20D Ballistic®抗撕裂尼龍布（撥水加工）。這系列超輕量收納袋共提供了五種尺寸，圓底設計避免收納死角。</t>
        </is>
      </c>
    </row>
    <row r="1033">
      <c r="A1033" t="inlineStr"/>
      <c r="B1033" t="inlineStr"/>
      <c r="C1033" t="inlineStr">
        <is>
          <t>BAG</t>
        </is>
      </c>
      <c r="D1033">
        <f>U1033</f>
        <v/>
      </c>
      <c r="E1033" t="n">
        <v>1133131</v>
      </c>
      <c r="F1033" t="inlineStr">
        <is>
          <t>U.L. STUFF BAG 2L</t>
        </is>
      </c>
      <c r="G1033" t="inlineStr">
        <is>
          <t>OGRD      SHAD      WT</t>
        </is>
      </c>
      <c r="H1033" t="inlineStr">
        <is>
          <t>OGRD</t>
        </is>
      </c>
      <c r="J1033" t="n">
        <v>400</v>
      </c>
      <c r="K1033" t="inlineStr">
        <is>
          <t>◎ 尺寸：Φ12×19cm、重量：8g。
◎ 材質：20D Ballistic®抗撕裂尼龍布（撥水加工）。這系列超輕量收納袋共提供了五種尺寸，圓底設計避免收納死角。</t>
        </is>
      </c>
    </row>
    <row r="1034">
      <c r="A1034" t="inlineStr"/>
      <c r="B1034" t="inlineStr"/>
      <c r="C1034" t="inlineStr">
        <is>
          <t>BAG</t>
        </is>
      </c>
      <c r="D1034">
        <f>U1034</f>
        <v/>
      </c>
      <c r="E1034" t="n">
        <v>1133133</v>
      </c>
      <c r="F1034" t="inlineStr">
        <is>
          <t>U.L. STUFF BAG 3L</t>
        </is>
      </c>
      <c r="G1034" t="inlineStr">
        <is>
          <t>OGRD      SHAD      WT</t>
        </is>
      </c>
      <c r="H1034" t="inlineStr">
        <is>
          <t>OGRD</t>
        </is>
      </c>
      <c r="J1034" t="n">
        <v>400</v>
      </c>
      <c r="K1034" t="inlineStr">
        <is>
          <t>◎ 尺寸：Φ13×23cm、重量：10g。
◎ 材質：20D Ballistic®抗撕裂尼龍布（撥水加工）。這系列超輕量收納袋共提供了五種尺寸，圓底設計避免收納死角。</t>
        </is>
      </c>
    </row>
    <row r="1035">
      <c r="A1035" t="inlineStr"/>
      <c r="B1035" t="inlineStr"/>
      <c r="C1035" t="inlineStr">
        <is>
          <t>BAG</t>
        </is>
      </c>
      <c r="D1035">
        <f>U1035</f>
        <v/>
      </c>
      <c r="E1035" t="n">
        <v>1133411</v>
      </c>
      <c r="F1035" t="inlineStr">
        <is>
          <t>UTILITY DAYPACK 20</t>
        </is>
      </c>
      <c r="G1035" t="inlineStr">
        <is>
          <t>BK      DGN      NV</t>
        </is>
      </c>
      <c r="J1035" t="n">
        <v>4250</v>
      </c>
      <c r="K1035" t="inlineStr">
        <is>
          <t>◎ 尺寸：47x 29 x15cm，容量：20L
◎ 輕量多功能商務包。
◎ 材質：330D Ballistic® ULTRA尼龍抗撕裂布。
◎重量：725g、背長：47cm。</t>
        </is>
      </c>
    </row>
    <row r="1036">
      <c r="A1036" t="inlineStr"/>
      <c r="B1036" t="inlineStr"/>
      <c r="C1036" t="inlineStr">
        <is>
          <t>BAG</t>
        </is>
      </c>
      <c r="D1036">
        <f>U1036</f>
        <v/>
      </c>
      <c r="E1036" t="n">
        <v>1133412</v>
      </c>
      <c r="F1036" t="inlineStr">
        <is>
          <t>UTILITY DAYPACK 25</t>
        </is>
      </c>
      <c r="G1036" t="inlineStr">
        <is>
          <t>BK      DGN      NV</t>
        </is>
      </c>
      <c r="J1036" t="n">
        <v>4500</v>
      </c>
      <c r="K1036" t="inlineStr">
        <is>
          <t>◎ 尺寸：49x 30 x17cm，容量：25L。
◎ 輕量多功能商務包。
◎ 材質：330D Ballistic® ULTRA尼龍抗撕裂布。
◎重量：803g、背長：49cm。</t>
        </is>
      </c>
    </row>
    <row r="1037">
      <c r="A1037" t="inlineStr"/>
      <c r="B1037" t="inlineStr"/>
      <c r="C1037" t="inlineStr">
        <is>
          <t>BAG</t>
        </is>
      </c>
      <c r="D1037">
        <f>U1037</f>
        <v/>
      </c>
      <c r="E1037" t="n">
        <v>1123787</v>
      </c>
      <c r="F1037" t="inlineStr">
        <is>
          <t>VERTICAL ATTACHABLE BELT</t>
        </is>
      </c>
      <c r="G1037" t="inlineStr">
        <is>
          <t>BK</t>
        </is>
      </c>
      <c r="H1037" t="inlineStr">
        <is>
          <t>BK</t>
        </is>
      </c>
      <c r="J1037" t="n">
        <v>260</v>
      </c>
      <c r="K1037" t="inlineStr">
        <is>
          <t>◎ 重量：10g、330D抗撕裂尼龍。
◎ 搭配1123775、1133249、1133181使用，利用魔鬼氈黏貼來固定背包與配件包。</t>
        </is>
      </c>
    </row>
    <row r="1038">
      <c r="A1038" t="inlineStr"/>
      <c r="B1038" t="inlineStr"/>
      <c r="C1038" t="inlineStr">
        <is>
          <t>BAG</t>
        </is>
      </c>
      <c r="D1038">
        <f>U1038</f>
        <v/>
      </c>
      <c r="E1038" t="n">
        <v>1133334</v>
      </c>
      <c r="F1038" t="inlineStr">
        <is>
          <t>WAIST BOTTLE CAGE</t>
        </is>
      </c>
      <c r="G1038" t="inlineStr">
        <is>
          <t>BK      LGY</t>
        </is>
      </c>
      <c r="H1038" t="inlineStr">
        <is>
          <t>BK</t>
        </is>
      </c>
      <c r="J1038" t="n">
        <v>1440</v>
      </c>
      <c r="K1038" t="inlineStr">
        <is>
          <t>◎ 重量：134g、適用手機尺寸：17x8cm，適用腰圍尺寸最大105cm。
◎ 材質：210D抗撕裂尼龍布+彈性網布，背部3D網格布。
◎ 可放水瓶及智慧型手機的超輕量腰包。</t>
        </is>
      </c>
    </row>
    <row r="1039">
      <c r="A1039" t="inlineStr"/>
      <c r="B1039" t="inlineStr"/>
      <c r="C1039" t="inlineStr">
        <is>
          <t>BAG</t>
        </is>
      </c>
      <c r="D1039">
        <f>U1039</f>
        <v/>
      </c>
      <c r="E1039" t="n">
        <v>1133598</v>
      </c>
      <c r="F1039" t="inlineStr">
        <is>
          <t>WALLET</t>
        </is>
      </c>
      <c r="G1039" t="inlineStr">
        <is>
          <t>BK      IV      KGN      NV      OG      YL</t>
        </is>
      </c>
      <c r="H1039" t="inlineStr">
        <is>
          <t>OG</t>
        </is>
      </c>
      <c r="J1039" t="n">
        <v>630</v>
      </c>
      <c r="K1039" t="inlineStr">
        <is>
          <t>◎ 材質：420D抗撕裂尼龍布。
◎ 輕量皮夾，附有小包可裝硬幣。</t>
        </is>
      </c>
    </row>
    <row r="1040">
      <c r="A1040" t="inlineStr">
        <is>
          <t>27SS</t>
        </is>
      </c>
      <c r="B1040" t="inlineStr">
        <is>
          <t>27SS</t>
        </is>
      </c>
      <c r="C1040" t="inlineStr">
        <is>
          <t>BAG</t>
        </is>
      </c>
      <c r="D1040">
        <f>U1040</f>
        <v/>
      </c>
      <c r="E1040" t="n">
        <v>1133614</v>
      </c>
      <c r="F1040" t="inlineStr">
        <is>
          <t>WATERPROOF COMPRESSION STUFF BAG 10L</t>
        </is>
      </c>
      <c r="G1040" t="inlineStr">
        <is>
          <t>DNV      LGY      OG      YGN</t>
        </is>
      </c>
      <c r="J1040" t="n">
        <v>580</v>
      </c>
      <c r="K1040" t="inlineStr">
        <is>
          <t>◎ 容量：10L。
◎ 防水壓縮袋附氣閥，縫線貼條，捲口封口方形底部。
◎ 材質：70D尼龍(HYDROPRO塗層)。</t>
        </is>
      </c>
    </row>
    <row r="1041">
      <c r="A1041" t="inlineStr">
        <is>
          <t>27SS</t>
        </is>
      </c>
      <c r="B1041" t="inlineStr">
        <is>
          <t>27SS</t>
        </is>
      </c>
      <c r="C1041" t="inlineStr">
        <is>
          <t>BAG</t>
        </is>
      </c>
      <c r="D1041">
        <f>U1041</f>
        <v/>
      </c>
      <c r="E1041" t="n">
        <v>1133615</v>
      </c>
      <c r="F1041" t="inlineStr">
        <is>
          <t>WATERPROOF COMPRESSION STUFF BAG 20L</t>
        </is>
      </c>
      <c r="G1041" t="inlineStr">
        <is>
          <t>DNV      LGY      OG      YGN</t>
        </is>
      </c>
      <c r="H1041" t="inlineStr">
        <is>
          <t>OG</t>
        </is>
      </c>
      <c r="J1041" t="n">
        <v>700</v>
      </c>
      <c r="K1041" t="inlineStr">
        <is>
          <t>◎ 容量：20L。
◎ 防水壓縮袋附氣閥，縫線貼條，捲口封口方形底部。
◎ 材質：70D尼龍(HYDROPRO塗層)。</t>
        </is>
      </c>
    </row>
    <row r="1042">
      <c r="A1042" t="inlineStr">
        <is>
          <t>27SS</t>
        </is>
      </c>
      <c r="B1042" t="inlineStr">
        <is>
          <t>27SS</t>
        </is>
      </c>
      <c r="C1042" t="inlineStr">
        <is>
          <t>BAG</t>
        </is>
      </c>
      <c r="D1042">
        <f>U1042</f>
        <v/>
      </c>
      <c r="E1042" t="n">
        <v>1133616</v>
      </c>
      <c r="F1042" t="inlineStr">
        <is>
          <t>WATERPROOF COMPRESSION STUFF BAG 30L</t>
        </is>
      </c>
      <c r="G1042" t="inlineStr">
        <is>
          <t>DNV      LGY      OG      YGN</t>
        </is>
      </c>
      <c r="H1042" t="inlineStr">
        <is>
          <t>YGN</t>
        </is>
      </c>
      <c r="J1042" t="n">
        <v>780</v>
      </c>
      <c r="K1042" t="inlineStr">
        <is>
          <t>◎ 容量：30L。
◎ 防水壓縮袋附氣閥，縫線貼條，捲口封口方形底部。
◎ 材質：70D尼龍(HYDROPRO塗層)。</t>
        </is>
      </c>
    </row>
    <row r="1043">
      <c r="A1043" t="inlineStr"/>
      <c r="B1043" t="inlineStr"/>
      <c r="C1043" t="inlineStr">
        <is>
          <t>BAG</t>
        </is>
      </c>
      <c r="D1043">
        <f>U1043</f>
        <v/>
      </c>
      <c r="E1043" t="n">
        <v>1133372</v>
      </c>
      <c r="F1043" t="inlineStr">
        <is>
          <t>ZIP WALLET</t>
        </is>
      </c>
      <c r="G1043" t="inlineStr">
        <is>
          <t>BK      GN      GY      NV      PU      YL</t>
        </is>
      </c>
      <c r="H1043" t="inlineStr">
        <is>
          <t>NV</t>
        </is>
      </c>
      <c r="J1043" t="n">
        <v>830</v>
      </c>
      <c r="K1043" t="inlineStr">
        <is>
          <t>◎ 尺寸：12x9.5cm、重量：59g。
◎ 材質：210D Ballistic®尼龍抗撕裂布（聚氨酯塗層）。
◎ 尺寸小，可一手掌握。輕量皮夾，開口有拉鍊閉合。</t>
        </is>
      </c>
    </row>
    <row r="1044">
      <c r="A1044" t="inlineStr"/>
      <c r="B1044" t="inlineStr"/>
      <c r="C1044" t="inlineStr">
        <is>
          <t>BOTTLES</t>
        </is>
      </c>
      <c r="D1044">
        <f>U1044</f>
        <v/>
      </c>
      <c r="E1044" t="n">
        <v>1133489</v>
      </c>
      <c r="F1044" t="inlineStr">
        <is>
          <t>ADJUSTABLE BOTTLE HOLDER</t>
        </is>
      </c>
      <c r="G1044" t="inlineStr">
        <is>
          <t>BK      BL      DGN      RD      WRD      YL</t>
        </is>
      </c>
      <c r="J1044" t="n">
        <v>1190</v>
      </c>
      <c r="K1044" t="inlineStr">
        <is>
          <t xml:space="preserve">◎ 尺寸：Φ7.6x12cm、重量：51g。
◎ 210D尼龍斜紋布水瓶套，適用於350~700ml容量水瓶，可輕鬆安裝於背包或腰帶。
</t>
        </is>
      </c>
    </row>
    <row r="1045">
      <c r="A1045" t="inlineStr"/>
      <c r="B1045" t="inlineStr"/>
      <c r="C1045" t="inlineStr">
        <is>
          <t>BOTTLES</t>
        </is>
      </c>
      <c r="D1045">
        <f>U1045</f>
        <v/>
      </c>
      <c r="E1045" t="n">
        <v>1134464</v>
      </c>
      <c r="F1045" t="inlineStr">
        <is>
          <t>ALPINE THERMO BOTTLE 0.35L</t>
        </is>
      </c>
      <c r="G1045" t="inlineStr">
        <is>
          <t>BK      NV      RD      STNLS</t>
        </is>
      </c>
      <c r="J1045" t="n">
        <v>1240</v>
      </c>
      <c r="K1045" t="inlineStr">
        <is>
          <t>◎ 重量：221g， 下保護套需另購。
◎ 材質：外層SUS304不銹鋼，內層SUS316抗腐蝕不銹鋼；內外蓋聚丙烯。
◎ 保溫性：（開始時）95°C（6小時後）74°C以上。保冷：4℃（6小時後）10℃以下。</t>
        </is>
      </c>
    </row>
    <row r="1046">
      <c r="A1046" t="inlineStr"/>
      <c r="B1046" t="inlineStr"/>
      <c r="C1046" t="inlineStr">
        <is>
          <t>BOTTLES</t>
        </is>
      </c>
      <c r="D1046">
        <f>U1046</f>
        <v/>
      </c>
      <c r="E1046" t="n">
        <v>1134465</v>
      </c>
      <c r="F1046" t="inlineStr">
        <is>
          <t>ALPINE THERMO BOTTLE 0.5L</t>
        </is>
      </c>
      <c r="G1046" t="inlineStr">
        <is>
          <t>BK      NV      RD      STNLS</t>
        </is>
      </c>
      <c r="H1046" t="inlineStr">
        <is>
          <t>NV</t>
        </is>
      </c>
      <c r="J1046" t="n">
        <v>1290</v>
      </c>
      <c r="K1046" t="inlineStr">
        <is>
          <t>◎ 重量：257g、下保護套需另購。
◎ 材質：外層SUS304不銹鋼，內層SUS316抗腐蝕不銹鋼；內外蓋聚丙烯。
◎ 保溫性：（開始時）95°C（6小時後）74°C以上。保冷：4℃（6小時後）10℃以下。</t>
        </is>
      </c>
    </row>
    <row r="1047">
      <c r="A1047" t="inlineStr"/>
      <c r="B1047" t="inlineStr"/>
      <c r="C1047" t="inlineStr">
        <is>
          <t>BOTTLES</t>
        </is>
      </c>
      <c r="D1047">
        <f>U1047</f>
        <v/>
      </c>
      <c r="E1047" t="n">
        <v>1134466</v>
      </c>
      <c r="F1047" t="inlineStr">
        <is>
          <t>ALPINE THERMO BOTTLE 0.75L</t>
        </is>
      </c>
      <c r="G1047" t="inlineStr">
        <is>
          <t>BK      RD      STNLS</t>
        </is>
      </c>
      <c r="H1047" t="inlineStr">
        <is>
          <t>STNLS</t>
        </is>
      </c>
      <c r="J1047" t="n">
        <v>1510</v>
      </c>
      <c r="K1047" t="inlineStr">
        <is>
          <t>◎ 重量：331g、下保護套需另購。
◎ 材質：外層SUS304不銹鋼，內層SUS316抗腐蝕不銹鋼；內外蓋聚丙烯。
◎ 保溫性：（開始時）95°C（6小時後）74°C以上。保冷：4℃（6小時後）10℃以下。</t>
        </is>
      </c>
    </row>
    <row r="1048">
      <c r="A1048" t="inlineStr"/>
      <c r="B1048" t="inlineStr"/>
      <c r="C1048" t="inlineStr">
        <is>
          <t>BOTTLES</t>
        </is>
      </c>
      <c r="D1048">
        <f>U1048</f>
        <v/>
      </c>
      <c r="E1048" t="n">
        <v>1134467</v>
      </c>
      <c r="F1048" t="inlineStr">
        <is>
          <t>ALPINE THERMO BOTTLE 0.9L</t>
        </is>
      </c>
      <c r="G1048" t="inlineStr">
        <is>
          <t>RD      STNLS</t>
        </is>
      </c>
      <c r="J1048" t="n">
        <v>1620</v>
      </c>
      <c r="K1048" t="inlineStr">
        <is>
          <t>◎ 重量：374g、下保護套需另購。
◎ 材質：外層SUS304不銹鋼，內層SUS316抗腐蝕不銹鋼；內外蓋聚丙烯。
◎ 保溫性：（開始時）95°C（6小時後）74°C以上。保冷：4℃（6小時後）10℃以下。</t>
        </is>
      </c>
    </row>
    <row r="1049">
      <c r="A1049" t="inlineStr"/>
      <c r="B1049" t="inlineStr"/>
      <c r="C1049" t="inlineStr">
        <is>
          <t>BOTTLES</t>
        </is>
      </c>
      <c r="D1049">
        <f>U1049</f>
        <v/>
      </c>
      <c r="E1049" t="n">
        <v>1134468</v>
      </c>
      <c r="F1049" t="inlineStr">
        <is>
          <t>ALPINE THERMO BOTTLE ACTIVE 0.35L</t>
        </is>
      </c>
      <c r="G1049" t="inlineStr">
        <is>
          <t>BK      DTL      STNLS</t>
        </is>
      </c>
      <c r="J1049" t="n">
        <v>1300</v>
      </c>
      <c r="K1049" t="inlineStr">
        <is>
          <t>◎ 重量：231g、材質：上蓋/聚丙烯+矽膠，主體不銹鋼。
◎ 掀蓋式頂蓋方便飲用，具良好的絕緣效果。
◎ 保溫性：（開始時）95°C（6小時後）60°C以上。保冰性：（開始時）4°C（6小時後）10°C以上。</t>
        </is>
      </c>
    </row>
    <row r="1050">
      <c r="A1050" t="inlineStr"/>
      <c r="B1050" t="inlineStr"/>
      <c r="C1050" t="inlineStr">
        <is>
          <t>BOTTLES</t>
        </is>
      </c>
      <c r="D1050">
        <f>U1050</f>
        <v/>
      </c>
      <c r="E1050" t="n">
        <v>1134469</v>
      </c>
      <c r="F1050" t="inlineStr">
        <is>
          <t>ALPINE THERMO BOTTLE ACTIVE 0.5L</t>
        </is>
      </c>
      <c r="G1050" t="inlineStr">
        <is>
          <t>BK      DTL      STNLS</t>
        </is>
      </c>
      <c r="H1050" t="inlineStr">
        <is>
          <t>DTL</t>
        </is>
      </c>
      <c r="J1050" t="n">
        <v>1350</v>
      </c>
      <c r="K1050" t="inlineStr">
        <is>
          <t>◎ 重量：257g、材質：上蓋/聚丙烯+矽膠，主體不銹鋼。
◎ 掀蓋式頂蓋方便飲用，具良好的絕緣效果，適用於戶外活動或日常生活。
◎ 保溫性：（開始時）95°C（6小時後）68°C以上。保冰性：（開始時）4°C（6小時後）8°C以上。</t>
        </is>
      </c>
    </row>
    <row r="1051">
      <c r="A1051" t="inlineStr"/>
      <c r="B1051" t="inlineStr"/>
      <c r="C1051" t="inlineStr">
        <is>
          <t>BOTTLES</t>
        </is>
      </c>
      <c r="D1051">
        <f>U1051</f>
        <v/>
      </c>
      <c r="E1051" t="n">
        <v>1134470</v>
      </c>
      <c r="F1051" t="inlineStr">
        <is>
          <t>ALPINE THERMO BOTTLE ACTIVE 0.75L</t>
        </is>
      </c>
      <c r="G1051" t="inlineStr">
        <is>
          <t>BK      STNLS</t>
        </is>
      </c>
      <c r="H1051" t="inlineStr">
        <is>
          <t>BK</t>
        </is>
      </c>
      <c r="J1051" t="n">
        <v>1580</v>
      </c>
      <c r="K1051" t="inlineStr">
        <is>
          <t>◎ 重量：337g、材質：上蓋/聚丙烯+矽膠，主體不銹鋼。
◎ 掀蓋式頂蓋方便飲用，具良好的絕緣效果，適用於戶外活動或日常生活。
◎ 保溫性：（開始時）95°C（6小時後）73°C以上。保冰性：（開始時）4°C（6小時後）8°C以上。</t>
        </is>
      </c>
    </row>
    <row r="1052">
      <c r="A1052" t="inlineStr"/>
      <c r="B1052" t="inlineStr"/>
      <c r="C1052" t="inlineStr">
        <is>
          <t>BOTTLES</t>
        </is>
      </c>
      <c r="D1052">
        <f>U1052</f>
        <v/>
      </c>
      <c r="E1052" t="n">
        <v>1134471</v>
      </c>
      <c r="F1052" t="inlineStr">
        <is>
          <t>ALPINE THERMO BOTTLE ACTIVE 0.9L</t>
        </is>
      </c>
      <c r="G1052" t="inlineStr">
        <is>
          <t>BK      STNLS</t>
        </is>
      </c>
      <c r="J1052" t="n">
        <v>1680</v>
      </c>
      <c r="K1052" t="inlineStr">
        <is>
          <t>◎ 重量：380g、材質：上蓋/聚丙烯+矽膠，主體不銹鋼。
◎ 掀蓋式頂蓋方便飲用，具良好的絕緣效果，適用於戶外活動或日常生活。
◎ 保溫性：（開始時）95°C（6小時後）75°C以上。保冰性：（開始時）4°C（6小時後）8°C以上。</t>
        </is>
      </c>
    </row>
    <row r="1053">
      <c r="A1053" t="inlineStr"/>
      <c r="B1053" t="inlineStr"/>
      <c r="C1053" t="inlineStr">
        <is>
          <t>BOTTLES</t>
        </is>
      </c>
      <c r="D1053">
        <f>U1053</f>
        <v/>
      </c>
      <c r="E1053" t="n">
        <v>1134263</v>
      </c>
      <c r="F1053" t="inlineStr">
        <is>
          <t>ALPINE THERMO BOTTLE ACTIVE LID L</t>
        </is>
      </c>
      <c r="G1053" t="inlineStr">
        <is>
          <t>DGY      RD1</t>
        </is>
      </c>
      <c r="J1053" t="n">
        <v>350</v>
      </c>
      <c r="K1053" t="inlineStr">
        <is>
          <t>◎ 尺寸：Φ7.6 x 7cm、重量：76g。
◎ 材質：聚丙烯/ABS，矽膠墊圈。
◎ 可拆式直飲蓋，可洗碗機，不可微波。</t>
        </is>
      </c>
    </row>
    <row r="1054">
      <c r="A1054" t="inlineStr"/>
      <c r="B1054" t="inlineStr"/>
      <c r="C1054" t="inlineStr">
        <is>
          <t>BOTTLES</t>
        </is>
      </c>
      <c r="D1054">
        <f>U1054</f>
        <v/>
      </c>
      <c r="E1054" t="n">
        <v>1134262</v>
      </c>
      <c r="F1054" t="inlineStr">
        <is>
          <t>ALPINE THERMO BOTTLE ACTIVE LID M</t>
        </is>
      </c>
      <c r="G1054" t="inlineStr">
        <is>
          <t>DGY      DTL      NV1      RD1</t>
        </is>
      </c>
      <c r="J1054" t="n">
        <v>320</v>
      </c>
      <c r="K1054" t="inlineStr">
        <is>
          <t>◎ 尺寸：Φ6.7 x 6cm、重量：70g。
◎ 材質：聚丙烯/ABS，矽膠墊圈。
◎ 可拆式直飲蓋，可洗碗機，不可微波。</t>
        </is>
      </c>
    </row>
    <row r="1055">
      <c r="A1055" t="inlineStr"/>
      <c r="B1055" t="inlineStr"/>
      <c r="C1055" t="inlineStr">
        <is>
          <t>BOTTLES</t>
        </is>
      </c>
      <c r="D1055">
        <f>U1055</f>
        <v/>
      </c>
      <c r="E1055" t="n">
        <v>1134176</v>
      </c>
      <c r="F1055" t="inlineStr">
        <is>
          <t>ALPINE THERMO BOTTLE PROTECTOR</t>
        </is>
      </c>
      <c r="G1055" t="inlineStr">
        <is>
          <t>DGY</t>
        </is>
      </c>
      <c r="H1055" t="inlineStr">
        <is>
          <t>DGY</t>
        </is>
      </c>
      <c r="J1055" t="n">
        <v>150</v>
      </c>
      <c r="K1055" t="inlineStr">
        <is>
          <t>◎ 尺寸：Φ6.7x2cm、重量：13g、尺寸：Φ6.7x2cm。
◎ 材質：矽膠。
◎ 可通用於0.35L及0.5L保溫瓶之瓶蓋。</t>
        </is>
      </c>
    </row>
    <row r="1056">
      <c r="A1056" t="inlineStr"/>
      <c r="B1056" t="inlineStr"/>
      <c r="C1056" t="inlineStr">
        <is>
          <t>BOTTLES</t>
        </is>
      </c>
      <c r="D1056">
        <f>U1056</f>
        <v/>
      </c>
      <c r="E1056" t="n">
        <v>1134177</v>
      </c>
      <c r="F1056" t="inlineStr">
        <is>
          <t>ALPINE THERMO BOTTLE PROTECTOR L</t>
        </is>
      </c>
      <c r="G1056" t="inlineStr">
        <is>
          <t>DGY</t>
        </is>
      </c>
      <c r="H1056" t="inlineStr">
        <is>
          <t>DGY</t>
        </is>
      </c>
      <c r="J1056" t="n">
        <v>160</v>
      </c>
      <c r="K1056" t="inlineStr">
        <is>
          <t>◎ 尺寸：Φ7.5x2.3cm、重量：17g、尺寸：Φ7.5x2.3cm。
◎ 材質：矽膠。
◎ 可通用於0.75L及0.9L保溫瓶之瓶蓋。</t>
        </is>
      </c>
    </row>
    <row r="1057">
      <c r="A1057" t="inlineStr"/>
      <c r="B1057" t="inlineStr"/>
      <c r="C1057" t="inlineStr">
        <is>
          <t>BOTTLES</t>
        </is>
      </c>
      <c r="D1057">
        <f>U1057</f>
        <v/>
      </c>
      <c r="E1057" t="n">
        <v>1124743</v>
      </c>
      <c r="F1057" t="inlineStr">
        <is>
          <t>ALPINE THERMO BOTTLE SEAL</t>
        </is>
      </c>
      <c r="H1057" t="inlineStr">
        <is>
          <t>現場樣品</t>
        </is>
      </c>
      <c r="J1057" t="n">
        <v>80</v>
      </c>
      <c r="K1057" t="inlineStr">
        <is>
          <t>◎ 保溫瓶內塞墊圈，更換用
◎ 材質：矽膠。
◎ 洗碗機：可使用、微波爐：可使用。</t>
        </is>
      </c>
    </row>
    <row r="1058">
      <c r="A1058" t="inlineStr"/>
      <c r="B1058" t="inlineStr"/>
      <c r="C1058" t="inlineStr">
        <is>
          <t>BOTTLES</t>
        </is>
      </c>
      <c r="D1058">
        <f>U1058</f>
        <v/>
      </c>
      <c r="E1058" t="n">
        <v>1133624</v>
      </c>
      <c r="F1058" t="inlineStr">
        <is>
          <t>BOTTLE COVER L</t>
        </is>
      </c>
      <c r="G1058" t="inlineStr">
        <is>
          <t>BRC      DGY      LV      NV</t>
        </is>
      </c>
      <c r="H1058" t="inlineStr">
        <is>
          <t>NV</t>
        </is>
      </c>
      <c r="J1058" t="n">
        <v>330</v>
      </c>
      <c r="K1058" t="inlineStr">
        <is>
          <t>◎ 尺寸：Φ7.5x20.3cm、重量：50g。
◎ 材質：3mm發泡橡膠。具隔熱、保溫與保護水瓶的功效。可搭配專用背帶使用。
◎ 適用mont-bell 1L透明水瓶，0.75L保溫瓶。</t>
        </is>
      </c>
    </row>
    <row r="1059">
      <c r="A1059" t="inlineStr"/>
      <c r="B1059" t="inlineStr"/>
      <c r="C1059" t="inlineStr">
        <is>
          <t>BOTTLES</t>
        </is>
      </c>
      <c r="D1059">
        <f>U1059</f>
        <v/>
      </c>
      <c r="E1059" t="n">
        <v>1133623</v>
      </c>
      <c r="F1059" t="inlineStr">
        <is>
          <t>BOTTLE COVER M</t>
        </is>
      </c>
      <c r="G1059" t="inlineStr">
        <is>
          <t>BRC      DGY      LV      NV</t>
        </is>
      </c>
      <c r="J1059" t="n">
        <v>290</v>
      </c>
      <c r="K1059" t="inlineStr">
        <is>
          <t>◎ 尺寸：Φ6.6x18.2cm、重量：40g。
◎ 材質：3mm發泡橡膠。具隔熱、保溫與保護水瓶的功效。可搭配專用背帶使用。
◎ 適用mont-bell 0.75L透明水瓶，0.5L保溫瓶。</t>
        </is>
      </c>
    </row>
    <row r="1060">
      <c r="A1060" t="inlineStr"/>
      <c r="B1060" t="inlineStr"/>
      <c r="C1060" t="inlineStr">
        <is>
          <t>BOTTLES</t>
        </is>
      </c>
      <c r="D1060">
        <f>U1060</f>
        <v/>
      </c>
      <c r="E1060" t="n">
        <v>1133622</v>
      </c>
      <c r="F1060" t="inlineStr">
        <is>
          <t>BOTTLE COVER S</t>
        </is>
      </c>
      <c r="G1060" t="inlineStr">
        <is>
          <t>BRC      DGY      LV      NV</t>
        </is>
      </c>
      <c r="J1060" t="n">
        <v>270</v>
      </c>
      <c r="K1060" t="inlineStr">
        <is>
          <t>◎ 尺寸：Φ6.6x13.6cm、重量：30g。
◎ 材質：3mm發泡橡膠。具隔熱、保溫與保護水瓶的功效。可搭配專用背帶使用。
◎ 適用mont-bell0.5L透明水瓶，0.35L保溫瓶。</t>
        </is>
      </c>
    </row>
    <row r="1061">
      <c r="A1061" t="inlineStr"/>
      <c r="B1061" t="inlineStr"/>
      <c r="C1061" t="inlineStr">
        <is>
          <t>BOTTLES</t>
        </is>
      </c>
      <c r="D1061">
        <f>U1061</f>
        <v/>
      </c>
      <c r="E1061" t="n">
        <v>1133625</v>
      </c>
      <c r="F1061" t="inlineStr">
        <is>
          <t>BOTTLE COVER XL</t>
        </is>
      </c>
      <c r="G1061" t="inlineStr">
        <is>
          <t>BRC      DGY      LV      NV</t>
        </is>
      </c>
      <c r="H1061" t="inlineStr">
        <is>
          <t>DGY</t>
        </is>
      </c>
      <c r="J1061" t="n">
        <v>360</v>
      </c>
      <c r="K1061" t="inlineStr">
        <is>
          <t>◎ 尺寸：Φ7.5x24cm、重量：60g。
◎ 材質：3mm發泡橡膠。具隔熱、保溫與保護水瓶的功效。可搭配專用背帶使用。
◎ 適用mont-bell0.9L保溫瓶。</t>
        </is>
      </c>
    </row>
    <row r="1062">
      <c r="A1062" t="inlineStr"/>
      <c r="B1062" t="inlineStr"/>
      <c r="C1062" t="inlineStr">
        <is>
          <t>BOTTLES</t>
        </is>
      </c>
      <c r="D1062">
        <f>U1062</f>
        <v/>
      </c>
      <c r="E1062" t="n">
        <v>1133488</v>
      </c>
      <c r="F1062" t="inlineStr">
        <is>
          <t>BOTTLE HOLDER</t>
        </is>
      </c>
      <c r="G1062" t="inlineStr">
        <is>
          <t>BK</t>
        </is>
      </c>
      <c r="J1062" t="n">
        <v>720</v>
      </c>
      <c r="K1062" t="inlineStr">
        <is>
          <t>◎ 尺寸：Φ8.5x20cm、重量：54g。
◎ 210D尼龍水瓶套，適用於700ml以內容量水瓶，可輕鬆安裝於背包或腰帶。輕量、可收折，底部的網狀結構有助於排出水瓶內的冷凝水。</t>
        </is>
      </c>
    </row>
    <row r="1063">
      <c r="A1063" t="inlineStr"/>
      <c r="B1063" t="inlineStr"/>
      <c r="C1063" t="inlineStr">
        <is>
          <t>BOTTLES</t>
        </is>
      </c>
      <c r="D1063">
        <f>U1063</f>
        <v/>
      </c>
      <c r="E1063" t="n">
        <v>1124815</v>
      </c>
      <c r="F1063" t="inlineStr">
        <is>
          <t>CLEAR BOTTLE 0.35L</t>
        </is>
      </c>
      <c r="G1063" t="inlineStr">
        <is>
          <t>BGN      CLER      GY      OG      RD</t>
        </is>
      </c>
      <c r="J1063" t="n">
        <v>400</v>
      </c>
      <c r="K1063" t="inlineStr">
        <is>
          <t>◎ 尺寸：Φ7x14.7cm、重量：94g。
◎ 輕巧耐用的口水壺，便於放入冰塊和清潔，材質不含BPA（雙酚A）。
◎ 瓶身：飽和聚酯樹脂，蓋子：聚丙烯。耐熱：瓶身：90°C/-20°C蓋子：100℃/-20℃。不適用於微波爐。</t>
        </is>
      </c>
    </row>
    <row r="1064">
      <c r="A1064" t="inlineStr"/>
      <c r="B1064" t="inlineStr"/>
      <c r="C1064" t="inlineStr">
        <is>
          <t>BOTTLES</t>
        </is>
      </c>
      <c r="D1064">
        <f>U1064</f>
        <v/>
      </c>
      <c r="E1064" t="n">
        <v>1124816</v>
      </c>
      <c r="F1064" t="inlineStr">
        <is>
          <t>CLEAR BOTTLE 0.5L</t>
        </is>
      </c>
      <c r="G1064" t="inlineStr">
        <is>
          <t>BGN      CLER      GY      OG      RD</t>
        </is>
      </c>
      <c r="J1064" t="n">
        <v>430</v>
      </c>
      <c r="K1064" t="inlineStr">
        <is>
          <t>◎ 尺寸：Φ77x18.5cm、重量：105g。
◎ 輕巧耐用的口水壺，便於放入冰塊和清潔，材質不含BPA（雙酚A）。
◎ 瓶身：飽和聚酯樹脂，蓋子：聚丙烯。耐熱：瓶身：90°C/-20°C蓋子：100℃/-20℃。不適用於微波爐。</t>
        </is>
      </c>
    </row>
    <row r="1065">
      <c r="A1065" t="inlineStr"/>
      <c r="B1065" t="inlineStr"/>
      <c r="C1065" t="inlineStr">
        <is>
          <t>BOTTLES</t>
        </is>
      </c>
      <c r="D1065">
        <f>U1065</f>
        <v/>
      </c>
      <c r="E1065" t="n">
        <v>1124817</v>
      </c>
      <c r="F1065" t="inlineStr">
        <is>
          <t>CLEAR BOTTLE 0.75L</t>
        </is>
      </c>
      <c r="G1065" t="inlineStr">
        <is>
          <t>BGN      CLER      GY      OG      RD</t>
        </is>
      </c>
      <c r="H1065" t="inlineStr">
        <is>
          <t>CLER</t>
        </is>
      </c>
      <c r="J1065" t="n">
        <v>480</v>
      </c>
      <c r="K1065" t="inlineStr">
        <is>
          <t>◎ 尺寸：Φ7.5x22.2cm、重量：125g。
◎ 輕巧耐用的口水壺，便於放入冰塊和清潔，材質不含BPA（雙酚A）。
◎ 瓶身：飽和聚酯樹脂，蓋子：聚丙烯。耐熱：瓶身：90°C/-20°C蓋子：100℃/-20℃。不適用於微波爐。</t>
        </is>
      </c>
    </row>
    <row r="1066">
      <c r="A1066" t="inlineStr"/>
      <c r="B1066" t="inlineStr"/>
      <c r="C1066" t="inlineStr">
        <is>
          <t>BOTTLES</t>
        </is>
      </c>
      <c r="D1066">
        <f>U1066</f>
        <v/>
      </c>
      <c r="E1066" t="n">
        <v>1124818</v>
      </c>
      <c r="F1066" t="inlineStr">
        <is>
          <t>CLEAR BOTTLE 1.0L</t>
        </is>
      </c>
      <c r="G1066" t="inlineStr">
        <is>
          <t>BGN      CLER      GY      OG      RD</t>
        </is>
      </c>
      <c r="H1066" t="inlineStr">
        <is>
          <t>GY</t>
        </is>
      </c>
      <c r="J1066" t="n">
        <v>660</v>
      </c>
      <c r="K1066" t="inlineStr">
        <is>
          <t>◎ 尺寸：Φ8x25.1cm、重量：153g。
◎ 輕巧耐用的口水壺，便於放入冰塊和清潔，材質不含BPA（雙酚A）。
◎ 瓶身：飽和聚酯樹脂，蓋子：聚丙烯。耐熱：瓶身：90°C/-20°C蓋子：100℃/-20℃。不適用於微波爐。</t>
        </is>
      </c>
    </row>
    <row r="1067">
      <c r="A1067" t="inlineStr"/>
      <c r="B1067" t="inlineStr"/>
      <c r="C1067" t="inlineStr">
        <is>
          <t>BOTTLES</t>
        </is>
      </c>
      <c r="D1067">
        <f>U1067</f>
        <v/>
      </c>
      <c r="E1067" t="n">
        <v>1124424</v>
      </c>
      <c r="F1067" t="inlineStr">
        <is>
          <t>MINI CLEAR BOTTLE 20ML</t>
        </is>
      </c>
      <c r="H1067" t="inlineStr">
        <is>
          <t>現場樣品</t>
        </is>
      </c>
      <c r="J1067" t="n">
        <v>100</v>
      </c>
      <c r="K1067" t="inlineStr">
        <is>
          <t>◎ 尺寸：Φ2.9x6cm、重量：10g。
◎ 輕巧耐用的迷你瓶，瓶蓋旋緊不易滲漏，材質不含BPA（雙酚A），可裝各式醬料或調味料。
◎ 瓶身：PET，蓋子：聚丙烯。
◎ 耐熱：瓶身：50°C/0°C蓋子：100℃/0℃</t>
        </is>
      </c>
    </row>
    <row r="1068">
      <c r="A1068" t="inlineStr"/>
      <c r="B1068" t="inlineStr"/>
      <c r="C1068" t="inlineStr">
        <is>
          <t>BOTTLES</t>
        </is>
      </c>
      <c r="D1068">
        <f>U1068</f>
        <v/>
      </c>
      <c r="E1068" t="n">
        <v>1124425</v>
      </c>
      <c r="F1068" t="inlineStr">
        <is>
          <t>MINI CLEAR BOTTLE 30ML</t>
        </is>
      </c>
      <c r="H1068" t="inlineStr">
        <is>
          <t>現場樣品</t>
        </is>
      </c>
      <c r="J1068" t="n">
        <v>120</v>
      </c>
      <c r="K1068" t="inlineStr">
        <is>
          <t>◎ 尺寸：Φ3.2x6.8cm、重量：12g。
◎ 輕巧耐用的迷你瓶，瓶蓋旋緊不易滲漏，材質不含BPA（雙酚A），可裝各式醬料或調味料。
◎ 瓶身：PET，蓋子：聚丙烯。
◎ 耐熱：瓶身：50°C/0°C蓋子：100℃/0℃</t>
        </is>
      </c>
    </row>
    <row r="1069">
      <c r="A1069" t="inlineStr"/>
      <c r="B1069" t="inlineStr"/>
      <c r="C1069" t="inlineStr">
        <is>
          <t>BOTTLES</t>
        </is>
      </c>
      <c r="D1069">
        <f>U1069</f>
        <v/>
      </c>
      <c r="E1069" t="n">
        <v>1124426</v>
      </c>
      <c r="F1069" t="inlineStr">
        <is>
          <t>MINI CLEAR BOTTLE 50ML</t>
        </is>
      </c>
      <c r="H1069" t="inlineStr">
        <is>
          <t>現場樣品</t>
        </is>
      </c>
      <c r="J1069" t="n">
        <v>140</v>
      </c>
      <c r="K1069" t="inlineStr">
        <is>
          <t>◎ 尺寸：Φ3.5x8.4cm、重量：15g。
◎ 輕巧耐用的迷你瓶，瓶蓋旋緊不易滲漏，材質不含BPA（雙酚A），可裝各式醬料或調味料。
◎ 瓶身：PET，蓋子：聚丙烯。
◎ 瓶身：50°C/0°C蓋子：100℃/0℃。</t>
        </is>
      </c>
    </row>
    <row r="1070">
      <c r="A1070" t="inlineStr"/>
      <c r="B1070" t="inlineStr"/>
      <c r="C1070" t="inlineStr">
        <is>
          <t>BOTTLES</t>
        </is>
      </c>
      <c r="D1070">
        <f>U1070</f>
        <v/>
      </c>
      <c r="E1070" t="n">
        <v>1133620</v>
      </c>
      <c r="F1070" t="inlineStr">
        <is>
          <t>PET BOTTLE THERMO COVER 0.5L</t>
        </is>
      </c>
      <c r="G1070" t="inlineStr">
        <is>
          <t>BRC      DGY      LV      NV</t>
        </is>
      </c>
      <c r="H1070" t="inlineStr">
        <is>
          <t>BRC</t>
        </is>
      </c>
      <c r="J1070" t="n">
        <v>350</v>
      </c>
      <c r="K1070" t="inlineStr">
        <is>
          <t>◎ 良好的保溫/保冰保護套。
◎ 材質：3mm橡膠。</t>
        </is>
      </c>
    </row>
    <row r="1071">
      <c r="A1071" t="inlineStr"/>
      <c r="B1071" t="inlineStr"/>
      <c r="C1071" t="inlineStr">
        <is>
          <t>BOTTLES</t>
        </is>
      </c>
      <c r="D1071">
        <f>U1071</f>
        <v/>
      </c>
      <c r="E1071" t="n">
        <v>1133621</v>
      </c>
      <c r="F1071" t="inlineStr">
        <is>
          <t>PET BOTTLE THERMO COVER 1.0L</t>
        </is>
      </c>
      <c r="G1071" t="inlineStr">
        <is>
          <t>BRC      DGY      LV      NV</t>
        </is>
      </c>
      <c r="H1071" t="inlineStr">
        <is>
          <t>LV</t>
        </is>
      </c>
      <c r="J1071" t="n">
        <v>380</v>
      </c>
      <c r="K1071" t="inlineStr">
        <is>
          <t>◎ 良好的保溫/保冰保護套。
◎ 材質：3mm橡膠。</t>
        </is>
      </c>
    </row>
    <row r="1072">
      <c r="A1072" t="inlineStr"/>
      <c r="B1072" t="inlineStr"/>
      <c r="C1072" t="inlineStr">
        <is>
          <t>BOTTLES</t>
        </is>
      </c>
      <c r="D1072">
        <f>U1072</f>
        <v/>
      </c>
      <c r="E1072" t="n">
        <v>1134223</v>
      </c>
      <c r="F1072" t="inlineStr">
        <is>
          <t>PRINT CLEAR BOTTLE #1</t>
        </is>
      </c>
      <c r="G1072" t="inlineStr">
        <is>
          <t>CLER</t>
        </is>
      </c>
      <c r="H1072" t="inlineStr">
        <is>
          <t>CLER</t>
        </is>
      </c>
      <c r="J1072" t="n">
        <v>480</v>
      </c>
      <c r="K1072" t="inlineStr">
        <is>
          <t>◎ 尺寸：Φ7x18.5cm、重量：105g。
◎ 輕巧耐用的口水壺，便於放入冰塊和清潔，材質不含BPA（雙酚A）。
◎ 瓶身：飽和聚酯樹脂，蓋子：聚丙烯。耐熱：瓶身：90°C/-20°C蓋子：100℃/-20℃。不適用於微波爐。</t>
        </is>
      </c>
    </row>
    <row r="1073">
      <c r="C1073" t="inlineStr">
        <is>
          <t>BOTTLES</t>
        </is>
      </c>
      <c r="D1073">
        <f>U1073</f>
        <v/>
      </c>
      <c r="E1073" t="n">
        <v>1134377</v>
      </c>
      <c r="F1073" t="inlineStr">
        <is>
          <t>PRINT CLEAR BOTTLE #10</t>
        </is>
      </c>
      <c r="G1073" t="inlineStr">
        <is>
          <t>RD</t>
        </is>
      </c>
      <c r="H1073" t="inlineStr">
        <is>
          <t>RD</t>
        </is>
      </c>
      <c r="J1073" t="n">
        <v>550</v>
      </c>
      <c r="K1073" t="inlineStr">
        <is>
          <t>◎ 尺寸：Φ7x18.5cm、重量：105g。
◎ 輕巧耐用的口水壺，便於放入冰塊和清潔，材質不含BPA（雙酚A）。
◎ 瓶身：飽和聚酯樹脂，蓋子：聚丙烯。耐熱：瓶身：90°C/-20°C蓋子：100℃/-20℃。不適用於微波爐。</t>
        </is>
      </c>
    </row>
    <row r="1074">
      <c r="A1074" t="inlineStr"/>
      <c r="B1074" t="inlineStr"/>
      <c r="C1074" t="inlineStr">
        <is>
          <t>BOTTLES</t>
        </is>
      </c>
      <c r="D1074">
        <f>U1074</f>
        <v/>
      </c>
      <c r="E1074" t="n">
        <v>1134225</v>
      </c>
      <c r="F1074" t="inlineStr">
        <is>
          <t>PRINT CLEAR BOTTLE #3</t>
        </is>
      </c>
      <c r="G1074" t="inlineStr">
        <is>
          <t>GY</t>
        </is>
      </c>
      <c r="H1074" t="inlineStr">
        <is>
          <t>GY</t>
        </is>
      </c>
      <c r="J1074" t="n">
        <v>480</v>
      </c>
      <c r="K1074" t="inlineStr">
        <is>
          <t>◎ 尺寸：Φ7x18.5cm、重量：105g。
◎ 輕巧耐用的口水壺，便於放入冰塊和清潔，材質不含BPA（雙酚A）。
◎ 瓶身：飽和聚酯樹脂，蓋子：聚丙烯。耐熱：瓶身：90°C/-20°C蓋子：100℃/-20℃。不適用於微波爐。</t>
        </is>
      </c>
    </row>
    <row r="1075">
      <c r="A1075" t="inlineStr"/>
      <c r="B1075" t="inlineStr"/>
      <c r="C1075" t="inlineStr">
        <is>
          <t>BOTTLES</t>
        </is>
      </c>
      <c r="D1075">
        <f>U1075</f>
        <v/>
      </c>
      <c r="E1075" t="n">
        <v>1134226</v>
      </c>
      <c r="F1075" t="inlineStr">
        <is>
          <t>PRINT CLEAR BOTTLE #4</t>
        </is>
      </c>
      <c r="G1075" t="inlineStr">
        <is>
          <t>BL</t>
        </is>
      </c>
      <c r="H1075" t="inlineStr">
        <is>
          <t>BL</t>
        </is>
      </c>
      <c r="J1075" t="n">
        <v>480</v>
      </c>
      <c r="K1075" t="inlineStr">
        <is>
          <t>◎ 尺寸：Φ7x18.5cm、重量：105g。
◎ 輕巧耐用的口水壺，便於放入冰塊和清潔，材質不含BPA（雙酚A）。
◎ 瓶身：飽和聚酯樹脂，蓋子：聚丙烯。耐熱：瓶身：90°C/-20°C蓋子：100℃/-20℃。不適用於微波爐。</t>
        </is>
      </c>
    </row>
    <row r="1076">
      <c r="C1076" t="inlineStr">
        <is>
          <t>BOTTLES</t>
        </is>
      </c>
      <c r="D1076">
        <f>U1076</f>
        <v/>
      </c>
      <c r="E1076" t="n">
        <v>1134374</v>
      </c>
      <c r="F1076" t="inlineStr">
        <is>
          <t>PRINT CLEAR BOTTLE #7</t>
        </is>
      </c>
      <c r="G1076" t="inlineStr">
        <is>
          <t>CLER</t>
        </is>
      </c>
      <c r="H1076" t="inlineStr">
        <is>
          <t>CLER</t>
        </is>
      </c>
      <c r="J1076" t="n">
        <v>550</v>
      </c>
      <c r="K1076" t="inlineStr">
        <is>
          <t>◎ 尺寸：Φ7x18.5cm、重量：105g。
◎ 輕巧耐用的口水壺，便於放入冰塊和清潔，材質不含BPA（雙酚A）。
◎ 瓶身：飽和聚酯樹脂，蓋子：聚丙烯。耐熱：瓶身：90°C/-20°C蓋子：100℃/-20℃。不適用於微波爐。</t>
        </is>
      </c>
    </row>
    <row r="1077">
      <c r="C1077" t="inlineStr">
        <is>
          <t>BOTTLES</t>
        </is>
      </c>
      <c r="D1077">
        <f>U1077</f>
        <v/>
      </c>
      <c r="E1077" t="n">
        <v>1134375</v>
      </c>
      <c r="F1077" t="inlineStr">
        <is>
          <t>PRINT CLEAR BOTTLE #8</t>
        </is>
      </c>
      <c r="G1077" t="inlineStr">
        <is>
          <t>PU</t>
        </is>
      </c>
      <c r="H1077" t="inlineStr">
        <is>
          <t>PU</t>
        </is>
      </c>
      <c r="J1077" t="n">
        <v>550</v>
      </c>
      <c r="K1077" t="inlineStr">
        <is>
          <t>◎ 尺寸：Φ7x18.5cm、重量：105g。
◎ 輕巧耐用的口水壺，便於放入冰塊和清潔，材質不含BPA（雙酚A）。
◎ 瓶身：飽和聚酯樹脂，蓋子：聚丙烯。耐熱：瓶身：90°C/-20°C蓋子：100℃/-20℃。不適用於微波爐。</t>
        </is>
      </c>
    </row>
    <row r="1078">
      <c r="C1078" t="inlineStr">
        <is>
          <t>BOTTLES</t>
        </is>
      </c>
      <c r="D1078">
        <f>U1078</f>
        <v/>
      </c>
      <c r="E1078" t="n">
        <v>1134376</v>
      </c>
      <c r="F1078" t="inlineStr">
        <is>
          <t>PRINT CLEAR BOTTLE #9</t>
        </is>
      </c>
      <c r="G1078" t="inlineStr">
        <is>
          <t>BGN</t>
        </is>
      </c>
      <c r="H1078" t="inlineStr">
        <is>
          <t>BGN</t>
        </is>
      </c>
      <c r="J1078" t="n">
        <v>550</v>
      </c>
      <c r="K1078" t="inlineStr">
        <is>
          <t>◎ 尺寸：Φ7x18.5cm、重量：105g。
◎ 輕巧耐用的口水壺，便於放入冰塊和清潔，材質不含BPA（雙酚A）。
◎ 瓶身：飽和聚酯樹脂，蓋子：聚丙烯。耐熱：瓶身：90°C/-20°C蓋子：100℃/-20℃。不適用於微波爐。</t>
        </is>
      </c>
    </row>
    <row r="1079">
      <c r="A1079" t="inlineStr"/>
      <c r="B1079" t="inlineStr"/>
      <c r="C1079" t="inlineStr">
        <is>
          <t>BOTTLES</t>
        </is>
      </c>
      <c r="D1079">
        <f>U1079</f>
        <v/>
      </c>
      <c r="E1079" t="n">
        <v>1123936</v>
      </c>
      <c r="F1079" t="inlineStr">
        <is>
          <t>SHOULDER STRAP</t>
        </is>
      </c>
      <c r="H1079" t="inlineStr">
        <is>
          <t>現場樣品</t>
        </is>
      </c>
      <c r="J1079" t="n">
        <v>230</v>
      </c>
      <c r="K1079" t="inlineStr">
        <is>
          <t>◎ 尺寸：80~150cm、重量：31g。
◎ 肩帶，可搭配mont-bell水瓶保護套使用。</t>
        </is>
      </c>
    </row>
    <row r="1080">
      <c r="A1080" t="inlineStr">
        <is>
          <t>27SS</t>
        </is>
      </c>
      <c r="B1080" t="inlineStr">
        <is>
          <t>27SS</t>
        </is>
      </c>
      <c r="C1080" t="inlineStr">
        <is>
          <t>BOTTLES</t>
        </is>
      </c>
      <c r="D1080">
        <f>U1080</f>
        <v/>
      </c>
      <c r="E1080" t="n">
        <v>1134462</v>
      </c>
      <c r="F1080" t="inlineStr">
        <is>
          <t>TITANIUM ALPINE THERMO BOTTLE 0.35L</t>
        </is>
      </c>
      <c r="G1080" t="inlineStr">
        <is>
          <t>TITAN</t>
        </is>
      </c>
      <c r="H1080" t="inlineStr">
        <is>
          <t>TITAN</t>
        </is>
      </c>
      <c r="J1080" t="n">
        <v>2160</v>
      </c>
      <c r="K1080" t="inlineStr">
        <is>
          <t>◎ 材質：瓶身內外層皆為鈦金屬、內外蓋皆為聚丙烯。
◎ 保溫性：（開始時）95°C（6小時後）70°C以上。保冷：（開始時）4℃（6小時後）10℃以下。</t>
        </is>
      </c>
    </row>
    <row r="1081">
      <c r="A1081" t="inlineStr"/>
      <c r="B1081" t="inlineStr"/>
      <c r="C1081" t="inlineStr">
        <is>
          <t>BOTTLES</t>
        </is>
      </c>
      <c r="D1081">
        <f>U1081</f>
        <v/>
      </c>
      <c r="E1081" t="n">
        <v>1134164</v>
      </c>
      <c r="F1081" t="inlineStr">
        <is>
          <t>TITANIUM ALPINE THERMO BOTTLE 0.5L</t>
        </is>
      </c>
      <c r="G1081" t="inlineStr">
        <is>
          <t>TITAN</t>
        </is>
      </c>
      <c r="H1081" t="inlineStr">
        <is>
          <t>TITAN</t>
        </is>
      </c>
      <c r="J1081" t="n">
        <v>2600</v>
      </c>
      <c r="K1081" t="inlineStr">
        <is>
          <t>◎ 尺寸：Φ6.8x22.5cm、重量：200g。
◎ 材質：瓶身內外層皆為鈦金屬、內外蓋皆為聚丙烯。
◎ 保溫性：（開始時）95°C（6小時後）70°C以上。保冷：（開始時）4℃（6小時後）10℃以下。</t>
        </is>
      </c>
    </row>
    <row r="1082">
      <c r="A1082" t="inlineStr"/>
      <c r="B1082" t="inlineStr"/>
      <c r="C1082" t="inlineStr">
        <is>
          <t>BOTTLES</t>
        </is>
      </c>
      <c r="D1082">
        <f>U1082</f>
        <v/>
      </c>
      <c r="E1082" t="n">
        <v>1134201</v>
      </c>
      <c r="F1082" t="inlineStr">
        <is>
          <t>TITANIUM ALPINE THERMO BOTTLE 0.75L</t>
        </is>
      </c>
      <c r="G1082" t="inlineStr">
        <is>
          <t>TITAN</t>
        </is>
      </c>
      <c r="J1082" t="n">
        <v>2780</v>
      </c>
      <c r="K1082" t="inlineStr">
        <is>
          <t>◎ 尺寸：Φ7.6x25.5c、重量：265gm。
◎ 材質：瓶身內外層皆為鈦金屬、內外蓋皆為聚丙烯。
◎ 保溫性：（開始時）95°C（6小時後）70°C以上。保冷：（開始時）4℃（6小時後）10℃以下。</t>
        </is>
      </c>
    </row>
    <row r="1083">
      <c r="A1083" t="inlineStr">
        <is>
          <t>27SS</t>
        </is>
      </c>
      <c r="B1083" t="inlineStr">
        <is>
          <t>27SS</t>
        </is>
      </c>
      <c r="C1083" t="inlineStr">
        <is>
          <t>BOTTLES</t>
        </is>
      </c>
      <c r="D1083">
        <f>U1083</f>
        <v/>
      </c>
      <c r="E1083" t="n">
        <v>1134463</v>
      </c>
      <c r="F1083" t="inlineStr">
        <is>
          <t>TITANIUM ALPINE THERMO BOTTLE 0.9L</t>
        </is>
      </c>
      <c r="G1083" t="inlineStr">
        <is>
          <t>TITAN</t>
        </is>
      </c>
      <c r="H1083" t="inlineStr">
        <is>
          <t>TITAN</t>
        </is>
      </c>
      <c r="J1083" t="n">
        <v>2730</v>
      </c>
      <c r="K1083" t="inlineStr">
        <is>
          <t>◎ 材質：瓶身內外層皆為鈦金屬、內外蓋皆為聚丙烯。
◎ 保溫性：（開始時）95°C（6小時後）70°C以上。保冷：（開始時）4℃（6小時後）10℃以下。</t>
        </is>
      </c>
    </row>
    <row r="1084">
      <c r="A1084" t="inlineStr"/>
      <c r="B1084" t="inlineStr"/>
      <c r="C1084" t="inlineStr">
        <is>
          <t>BOTTLES</t>
        </is>
      </c>
      <c r="D1084">
        <f>U1084</f>
        <v/>
      </c>
      <c r="E1084" t="n">
        <v>1134272</v>
      </c>
      <c r="F1084" t="inlineStr">
        <is>
          <t>WATER FILTER</t>
        </is>
      </c>
      <c r="G1084" t="inlineStr">
        <is>
          <t>GY</t>
        </is>
      </c>
      <c r="H1084" t="inlineStr">
        <is>
          <t>GY</t>
        </is>
      </c>
      <c r="J1084" t="n">
        <v>1660</v>
      </c>
      <c r="K1084" t="inlineStr">
        <is>
          <t>◎ 尺寸：吸嘴+蓋子：Φ4.8x5.2cm，濾芯：Φ3.2x8cm，反沖洗接頭：Φ3.2x2cm。流量：2.8L/分鐘，濾芯壽命 2,500L，重量：50g。便攜式淨水器，可搭水袋或保特瓶。
◎ 原蟲去除率：99.9999％、細菌去除率：99.9999％。</t>
        </is>
      </c>
    </row>
    <row r="1085">
      <c r="A1085" t="inlineStr"/>
      <c r="B1085" t="inlineStr"/>
      <c r="C1085" t="inlineStr">
        <is>
          <t>BOTTLES</t>
        </is>
      </c>
      <c r="D1085">
        <f>U1085</f>
        <v/>
      </c>
      <c r="E1085" t="n">
        <v>1134273</v>
      </c>
      <c r="F1085" t="inlineStr">
        <is>
          <t>WATER FILTER CARTRIDGE</t>
        </is>
      </c>
      <c r="G1085" t="inlineStr">
        <is>
          <t>GY</t>
        </is>
      </c>
      <c r="J1085" t="n">
        <v>1480</v>
      </c>
      <c r="K1085" t="inlineStr">
        <is>
          <t>◎ 尺寸：濾芯：Φ3.2x8cm，反沖洗接頭：Φ3.2x2cm。流量：2.8L/分鐘，濾芯壽命 2,500L，重量：33g。便攜式淨水器，為#1134272的替換濾心。
◎ 原蟲去除率：99.9999％、細菌去除率：99.9999％。</t>
        </is>
      </c>
    </row>
    <row r="1086">
      <c r="A1086" t="inlineStr"/>
      <c r="B1086" t="inlineStr"/>
      <c r="C1086" t="inlineStr">
        <is>
          <t>CAMPING</t>
        </is>
      </c>
      <c r="D1086">
        <f>U1086</f>
        <v/>
      </c>
      <c r="E1086" t="n">
        <v>1122789</v>
      </c>
      <c r="F1086" t="inlineStr">
        <is>
          <t>BASE CAMP CHAIR</t>
        </is>
      </c>
      <c r="G1086" t="inlineStr">
        <is>
          <t>BK      NV      TN</t>
        </is>
      </c>
      <c r="H1086" t="inlineStr">
        <is>
          <t>BK</t>
        </is>
      </c>
      <c r="J1086" t="n">
        <v>3800</v>
      </c>
      <c r="K1086" t="inlineStr">
        <is>
          <t>◎ 尺寸：81x53x53cm、重量：3.6kg、座高：45cm、收納尺寸：17x17x81cm。
◎ 材質：主體：600D聚酯纖維(P.V.C塗層)骨架：鋼。
◎ 承重：（靜態承重）約100公斤。</t>
        </is>
      </c>
    </row>
    <row r="1087">
      <c r="A1087" t="inlineStr"/>
      <c r="B1087" t="inlineStr"/>
      <c r="C1087" t="inlineStr">
        <is>
          <t>CAMPING</t>
        </is>
      </c>
      <c r="D1087">
        <f>U1087</f>
        <v/>
      </c>
      <c r="E1087" t="n">
        <v>1122769</v>
      </c>
      <c r="F1087" t="inlineStr">
        <is>
          <t>COMPACT FIRE PIT</t>
        </is>
      </c>
      <c r="J1087" t="n">
        <v>2880</v>
      </c>
      <c r="K1087" t="inlineStr">
        <is>
          <t>◎ 尺寸：20x14.5x22cm、收納：20x14x5cm、重量：910g（950g）、載重：約10kg。
◎ 材質：不鏽鋼。兩側皆可開啟，可放置長的樹枝而不需裁切。
◎ 折疊式焚火台，輕便易攜，露營旅行皆宜。</t>
        </is>
      </c>
    </row>
    <row r="1088">
      <c r="A1088" t="inlineStr"/>
      <c r="B1088" t="inlineStr"/>
      <c r="C1088" t="inlineStr">
        <is>
          <t>CAMPING</t>
        </is>
      </c>
      <c r="D1088">
        <f>U1088</f>
        <v/>
      </c>
      <c r="E1088" t="n">
        <v>1122712</v>
      </c>
      <c r="F1088" t="inlineStr">
        <is>
          <t>FOLDING FIRE PIT</t>
        </is>
      </c>
      <c r="H1088" t="inlineStr">
        <is>
          <t>現場樣品</t>
        </is>
      </c>
      <c r="J1088" t="n">
        <v>6480</v>
      </c>
      <c r="K1088" t="inlineStr">
        <is>
          <t>◎ 尺寸：30x42x22cm、收納：30x42x5cm、載重：約20kg重量：4.1kg（4.3kg）。
◎ 材質：主體/支架 不鏽鋼、烤網 鋼。便於攜帶的折疊式焚火台。
◎ 獨特的雙層結構，實現效燃燒，煙霧少。</t>
        </is>
      </c>
    </row>
    <row r="1089">
      <c r="A1089" t="inlineStr"/>
      <c r="B1089" t="inlineStr"/>
      <c r="C1089" t="inlineStr">
        <is>
          <t>CAMPING</t>
        </is>
      </c>
      <c r="D1089">
        <f>U1089</f>
        <v/>
      </c>
      <c r="E1089" t="n">
        <v>1122751</v>
      </c>
      <c r="F1089" t="inlineStr">
        <is>
          <t>FOLDING FIRE PIT S</t>
        </is>
      </c>
      <c r="H1089" t="inlineStr">
        <is>
          <t>現場樣品</t>
        </is>
      </c>
      <c r="J1089" t="n">
        <v>6900</v>
      </c>
      <c r="K1089" t="inlineStr">
        <is>
          <t>◎ 尺寸：24.5x34.5x17cm、收納：24.5x34.5x5cm、載重：約20kg、重量：2.88kg。
◎ 材質：主體/支架 不鏽鋼、烤網 鋼。便於攜帶的折疊式焚火台，適合1~2人使用。
◎ 獨特的雙層結構，實現效燃燒，煙霧少。</t>
        </is>
      </c>
    </row>
    <row r="1090">
      <c r="A1090" t="inlineStr"/>
      <c r="B1090" t="inlineStr"/>
      <c r="C1090" t="inlineStr">
        <is>
          <t>CAMPING</t>
        </is>
      </c>
      <c r="D1090">
        <f>U1090</f>
        <v/>
      </c>
      <c r="E1090" t="n">
        <v>1122635</v>
      </c>
      <c r="F1090" t="inlineStr">
        <is>
          <t>MULTI FOLDING TABLE</t>
        </is>
      </c>
      <c r="G1090" t="inlineStr">
        <is>
          <t>BN</t>
        </is>
      </c>
      <c r="H1090" t="inlineStr">
        <is>
          <t>BN</t>
        </is>
      </c>
      <c r="J1090" t="n">
        <v>7000</v>
      </c>
      <c r="K1090" t="inlineStr">
        <is>
          <t>◎ 尺寸：收納：71x17x11cm、承重：約30kg、「Hi-Rosa系統（專利）」可三段調整：67/54/39cm、重量：2.71kg。材質：框架：鋁合金、鋼。桌板(70*71cm：三聚氰胺樹脂、玻璃纖維、聚丙烯。防水易清潔。雙面皆可使用。</t>
        </is>
      </c>
    </row>
    <row r="1091">
      <c r="A1091" t="inlineStr"/>
      <c r="B1091" t="inlineStr"/>
      <c r="C1091" t="inlineStr">
        <is>
          <t>CAMPING</t>
        </is>
      </c>
      <c r="D1091">
        <f>U1091</f>
        <v/>
      </c>
      <c r="E1091" t="n">
        <v>1122674</v>
      </c>
      <c r="F1091" t="inlineStr">
        <is>
          <t>MULTI FOLDING TABLE BOARD</t>
        </is>
      </c>
      <c r="G1091" t="inlineStr">
        <is>
          <t>OAK</t>
        </is>
      </c>
      <c r="H1091" t="inlineStr">
        <is>
          <t>OAK</t>
        </is>
      </c>
      <c r="J1091" t="n">
        <v>1690</v>
      </c>
      <c r="K1091" t="inlineStr">
        <is>
          <t>◎ 尺寸：28x27cm、收納：28x13.5x2.5cm、重量：275g。
◎ 材質：三聚氰胺樹脂。多功能折疊桌板。</t>
        </is>
      </c>
    </row>
    <row r="1092">
      <c r="A1092" t="inlineStr"/>
      <c r="B1092" t="inlineStr"/>
      <c r="C1092" t="inlineStr">
        <is>
          <t>CAMPING</t>
        </is>
      </c>
      <c r="D1092">
        <f>U1092</f>
        <v/>
      </c>
      <c r="E1092" t="n">
        <v>1122636</v>
      </c>
      <c r="F1092" t="inlineStr">
        <is>
          <t>MULTI FOLDING TABLE WIDE</t>
        </is>
      </c>
      <c r="G1092" t="inlineStr">
        <is>
          <t>BN</t>
        </is>
      </c>
      <c r="H1092" t="inlineStr">
        <is>
          <t>BN</t>
        </is>
      </c>
      <c r="J1092" t="n">
        <v>9400</v>
      </c>
      <c r="K1092" t="inlineStr">
        <is>
          <t>◎ 尺寸：收納：70x19x18cm、承重：約30kg、「Hi-Rosa系統（專利）」可三段調整：67/54/39cm、重量：4.33kg。材質：框架框架：鋁合金、鋼。型桌板（70*112.5cm）：三聚氰胺樹脂、玻璃纖維、聚丙烯。防水易清潔，雙面皆可使用。</t>
        </is>
      </c>
    </row>
    <row r="1093">
      <c r="A1093" t="inlineStr"/>
      <c r="B1093" t="inlineStr"/>
      <c r="C1093" t="inlineStr">
        <is>
          <t>CAMPING</t>
        </is>
      </c>
      <c r="D1093">
        <f>U1093</f>
        <v/>
      </c>
      <c r="E1093" t="n">
        <v>1122675</v>
      </c>
      <c r="F1093" t="inlineStr">
        <is>
          <t>MULTI FOLDING TABLE WIDE BOARD</t>
        </is>
      </c>
      <c r="G1093" t="inlineStr">
        <is>
          <t>OAK</t>
        </is>
      </c>
      <c r="H1093" t="inlineStr">
        <is>
          <t>OAK</t>
        </is>
      </c>
      <c r="J1093" t="n">
        <v>2230</v>
      </c>
      <c r="K1093" t="inlineStr">
        <is>
          <t>◎ 尺寸：66x28cm、收納：66x14x2.5cm、重量：605g。
◎ 材質：三聚氰胺樹脂。多功能折疊型桌板。</t>
        </is>
      </c>
    </row>
    <row r="1094">
      <c r="A1094" t="inlineStr"/>
      <c r="B1094" t="inlineStr"/>
      <c r="C1094" t="inlineStr">
        <is>
          <t>CLIMBING</t>
        </is>
      </c>
      <c r="D1094">
        <f>U1094</f>
        <v/>
      </c>
      <c r="E1094" t="n">
        <v>1124782</v>
      </c>
      <c r="F1094" t="inlineStr">
        <is>
          <t>ALPINE HELMET</t>
        </is>
      </c>
      <c r="G1094" t="inlineStr">
        <is>
          <t>NV      OGRD      WT</t>
        </is>
      </c>
      <c r="J1094" t="n">
        <v>2380</v>
      </c>
      <c r="K1094" t="inlineStr">
        <is>
          <t>◎外殼：ABS樹脂、內層：發泡聚苯乙烯、內襯：聚酯纖維。
◎ 重量：305g。頭圍：54～62cm。
◎ 一體成形輕量頭盔，具多個透氣孔。符合亞洲人頭型，可透過旋鈕調節器，精確調整貼合度。</t>
        </is>
      </c>
    </row>
    <row r="1095">
      <c r="A1095" t="inlineStr"/>
      <c r="B1095" t="inlineStr"/>
      <c r="C1095" t="inlineStr">
        <is>
          <t>CLIMBING</t>
        </is>
      </c>
      <c r="D1095">
        <f>U1095</f>
        <v/>
      </c>
      <c r="E1095" t="n">
        <v>1223442</v>
      </c>
      <c r="F1095" t="inlineStr">
        <is>
          <t>BELAY GLOVES</t>
        </is>
      </c>
      <c r="G1095" t="inlineStr">
        <is>
          <t>BK</t>
        </is>
      </c>
      <c r="I1095">
        <f>VLOOKUP(H1095,[1]尺寸簡表!$C$3:$D$1263,2,0)</f>
        <v/>
      </c>
      <c r="J1095" t="n">
        <v>1620</v>
      </c>
      <c r="K1095" t="inlineStr">
        <is>
          <t>◎  重量：76g。材質：手背／聚酯網布，手掌／合成皮革，強化部位／山羊皮。
◎ ZEROPOINT系列， 確保手套兼顧耐用性與操作手感。</t>
        </is>
      </c>
    </row>
    <row r="1096">
      <c r="A1096" t="inlineStr"/>
      <c r="B1096" t="inlineStr"/>
      <c r="C1096" t="inlineStr">
        <is>
          <t>CLIMBING</t>
        </is>
      </c>
      <c r="D1096">
        <f>U1096</f>
        <v/>
      </c>
      <c r="E1096" t="n">
        <v>1124639</v>
      </c>
      <c r="F1096" t="inlineStr">
        <is>
          <t>LIGHT WEIGHT ALPINE HELMET</t>
        </is>
      </c>
      <c r="G1096" t="inlineStr">
        <is>
          <t>GM      OG      TQB      WT</t>
        </is>
      </c>
      <c r="I1096">
        <f>VLOOKUP(H1096,[1]尺寸簡表!$C$3:$D$1263,2,0)</f>
        <v/>
      </c>
      <c r="J1096" t="n">
        <v>3200</v>
      </c>
      <c r="K1096" t="inlineStr">
        <is>
          <t>◎外殼：聚碳酸酯、內層：發泡聚苯乙烯、內襯：聚酯纖維。
◎ 重量：225g(S/M)、230g(M/L)，頭圍 S/M：52～57cm，M/L：57～62cm。
◎ 一體成形超輕量頭盔，具多個透氣孔。符合亞洲人頭型，三段式旋鈕調節器，精確調整貼合度。</t>
        </is>
      </c>
    </row>
    <row r="1097">
      <c r="A1097" t="inlineStr"/>
      <c r="B1097" t="inlineStr"/>
      <c r="C1097" t="inlineStr">
        <is>
          <t>CLIMBING</t>
        </is>
      </c>
      <c r="D1097">
        <f>U1097</f>
        <v/>
      </c>
      <c r="E1097" t="n">
        <v>1223387</v>
      </c>
      <c r="F1097" t="inlineStr">
        <is>
          <t>WIC. CLIMBING ANKLE SOCKS</t>
        </is>
      </c>
      <c r="G1097" t="inlineStr">
        <is>
          <t>BL      GM</t>
        </is>
      </c>
      <c r="H1097" t="inlineStr">
        <is>
          <t>BL</t>
        </is>
      </c>
      <c r="I1097">
        <f>VLOOKUP(H1097,[1]尺寸簡表!$C$3:$D$1263,2,0)</f>
        <v/>
      </c>
      <c r="J1097" t="n">
        <v>620</v>
      </c>
      <c r="K1097" t="inlineStr">
        <is>
          <t>◎ 材質：聚酯纖維72%＋尼龍21%＋聚氨酯7%。
◎ ZEROPOINT系列，L型剪裁獨家結構設計及吸濕排汗材質， 強化攀爬的舒適性。</t>
        </is>
      </c>
    </row>
    <row r="1098">
      <c r="A1098" t="inlineStr"/>
      <c r="B1098" t="inlineStr"/>
      <c r="C1098" t="inlineStr">
        <is>
          <t>COOKWARE</t>
        </is>
      </c>
      <c r="D1098">
        <f>U1098</f>
        <v/>
      </c>
      <c r="E1098" t="n">
        <v>1124905</v>
      </c>
      <c r="F1098" t="inlineStr">
        <is>
          <t>ALPINE COOKER 11 DEEP SHAPE</t>
        </is>
      </c>
      <c r="H1098" t="inlineStr">
        <is>
          <t>現場樣品</t>
        </is>
      </c>
      <c r="J1098" t="n">
        <v>880</v>
      </c>
      <c r="K1098" t="inlineStr">
        <is>
          <t>◎ 上蓋：430ml、本體：750ml、重量：245g（附收納袋）。
◎ 材質：鋁合金。陽極處理增加硬度不易刮傷。鍋蓋及握把：矽膠。
◎ 鍋蓋有蒸氣孔，可放一罐250g螺牙式瓦斯。</t>
        </is>
      </c>
    </row>
    <row r="1099">
      <c r="A1099" t="inlineStr"/>
      <c r="B1099" t="inlineStr"/>
      <c r="C1099" t="inlineStr">
        <is>
          <t>COOKWARE</t>
        </is>
      </c>
      <c r="D1099">
        <f>U1099</f>
        <v/>
      </c>
      <c r="E1099" t="n">
        <v>1124907</v>
      </c>
      <c r="F1099" t="inlineStr">
        <is>
          <t>ALPINE COOKER 11+13 SET DEEP SHAPE</t>
        </is>
      </c>
      <c r="H1099" t="inlineStr">
        <is>
          <t>現場樣品</t>
        </is>
      </c>
      <c r="J1099" t="n">
        <v>1680</v>
      </c>
      <c r="K1099" t="inlineStr">
        <is>
          <t>◎ 上蓋：430ml+610ml、本體：750ml+1L、重量：514g（附收納袋）。
◎ 使用熱傳導性高的鋁合金材質。
◎ 大容量的深型鍋具，陽極處理增加硬度不易刮傷。
◎ 鍋蓋有蒸氣孔，鍋蓋及握把為矽膠材質，可以隔熱。</t>
        </is>
      </c>
    </row>
    <row r="1100">
      <c r="A1100" t="inlineStr"/>
      <c r="B1100" t="inlineStr"/>
      <c r="C1100" t="inlineStr">
        <is>
          <t>COOKWARE</t>
        </is>
      </c>
      <c r="D1100">
        <f>U1100</f>
        <v/>
      </c>
      <c r="E1100" t="n">
        <v>1124906</v>
      </c>
      <c r="F1100" t="inlineStr">
        <is>
          <t>ALPINE COOKER 13 DEEP SHAPE</t>
        </is>
      </c>
      <c r="H1100" t="inlineStr">
        <is>
          <t>現場樣品</t>
        </is>
      </c>
      <c r="J1100" t="n">
        <v>1060</v>
      </c>
      <c r="K1100" t="inlineStr">
        <is>
          <t>◎ 上蓋：610ml、本體：1L、重量：290g（附收納袋）。
◎ 使用熱傳導性高的鋁合金材質。
◎ 大容量的深型鍋具，陽極處理增加硬度不易刮傷。
◎ 鍋蓋有蒸氣孔，鍋蓋及握把為矽膠材質，可以隔熱。</t>
        </is>
      </c>
    </row>
    <row r="1101">
      <c r="A1101" t="inlineStr"/>
      <c r="B1101" t="inlineStr"/>
      <c r="C1101" t="inlineStr">
        <is>
          <t>COOKWARE</t>
        </is>
      </c>
      <c r="D1101">
        <f>U1101</f>
        <v/>
      </c>
      <c r="E1101" t="n">
        <v>1124900</v>
      </c>
      <c r="F1101" t="inlineStr">
        <is>
          <t>ALPINE COOKER 14</t>
        </is>
      </c>
      <c r="H1101" t="inlineStr">
        <is>
          <t>現場樣品</t>
        </is>
      </c>
      <c r="J1101" t="n">
        <v>800</v>
      </c>
      <c r="K1101" t="inlineStr">
        <is>
          <t>◎ 容量：0.8L、重量：205g（附收納袋）。
◎ 使用熱傳導性高的鋁合金材質。
◎ 大容量的深型鍋具，陽極處理增加硬度不易刮傷。
◎ 鍋蓋有蒸氣孔，鍋蓋及握把為矽膠材質，可以隔熱。</t>
        </is>
      </c>
    </row>
    <row r="1102">
      <c r="A1102" t="inlineStr"/>
      <c r="B1102" t="inlineStr"/>
      <c r="C1102" t="inlineStr">
        <is>
          <t>COOKWARE</t>
        </is>
      </c>
      <c r="D1102">
        <f>U1102</f>
        <v/>
      </c>
      <c r="E1102" t="n">
        <v>1134348</v>
      </c>
      <c r="F1102" t="inlineStr">
        <is>
          <t>ALPINE COOKER 14+16 PAN SET</t>
        </is>
      </c>
      <c r="H1102" t="inlineStr">
        <is>
          <t>現場樣品</t>
        </is>
      </c>
      <c r="J1102" t="n">
        <v>2590</v>
      </c>
      <c r="K1102" t="inlineStr">
        <is>
          <t>◎ 上蓋：1.01L、本體：800ml+1.5L、重量：618g（附收納袋）。
◎ 使用熱傳導性高的鋁合金材質。
◎ 大容量的深型鍋具，陽極處理增加硬度不易刮傷。
◎ 鍋蓋有蒸氣孔，鍋蓋及握把為矽膠材質，可以隔熱。</t>
        </is>
      </c>
    </row>
    <row r="1103">
      <c r="A1103" t="inlineStr"/>
      <c r="B1103" t="inlineStr"/>
      <c r="C1103" t="inlineStr">
        <is>
          <t>COOKWARE</t>
        </is>
      </c>
      <c r="D1103">
        <f>U1103</f>
        <v/>
      </c>
      <c r="E1103" t="n">
        <v>1124901</v>
      </c>
      <c r="F1103" t="inlineStr">
        <is>
          <t>ALPINE COOKER 16</t>
        </is>
      </c>
      <c r="H1103" t="inlineStr">
        <is>
          <t>現場樣品</t>
        </is>
      </c>
      <c r="J1103" t="n">
        <v>920</v>
      </c>
      <c r="K1103" t="inlineStr">
        <is>
          <t>◎ 容量：1.5L、重量：266g（附收納袋）。
◎ 使用熱傳導性高的鋁合金材質。
◎ 大容量的深型鍋具，陽極處理增加硬度不易刮傷。
◎ 鍋蓋有蒸氣孔，鍋蓋及握把為矽膠材質，可以隔熱。</t>
        </is>
      </c>
    </row>
    <row r="1104">
      <c r="A1104" t="inlineStr"/>
      <c r="B1104" t="inlineStr"/>
      <c r="C1104" t="inlineStr">
        <is>
          <t>COOKWARE</t>
        </is>
      </c>
      <c r="D1104">
        <f>U1104</f>
        <v/>
      </c>
      <c r="E1104" t="n">
        <v>1134349</v>
      </c>
      <c r="F1104" t="inlineStr">
        <is>
          <t>ALPINE COOKER 16+18 PAN SET</t>
        </is>
      </c>
      <c r="J1104" t="n">
        <v>3070</v>
      </c>
      <c r="K1104" t="inlineStr">
        <is>
          <t>◎ 容量：2.0L、重量：370g（附收納袋）。
◎ 使用熱傳導性高的鋁合金材質。
◎ 大容量的深型鍋具，陽極處理增加硬度不易刮傷。
◎ 鍋蓋有蒸氣孔，鍋蓋及握把為矽膠材質，可以隔熱。</t>
        </is>
      </c>
    </row>
    <row r="1105">
      <c r="A1105" t="inlineStr"/>
      <c r="B1105" t="inlineStr"/>
      <c r="C1105" t="inlineStr">
        <is>
          <t>COOKWARE</t>
        </is>
      </c>
      <c r="D1105">
        <f>U1105</f>
        <v/>
      </c>
      <c r="E1105" t="n">
        <v>1124902</v>
      </c>
      <c r="F1105" t="inlineStr">
        <is>
          <t>ALPINE COOKER 18</t>
        </is>
      </c>
      <c r="H1105" t="inlineStr">
        <is>
          <t>現場樣品</t>
        </is>
      </c>
      <c r="J1105" t="n">
        <v>1140</v>
      </c>
      <c r="K1105" t="inlineStr">
        <is>
          <t>◎ 容量：2.0L、重量：370g（附收納袋）。
◎ 使用熱傳導性高的鋁合金材質。
◎ 大容量的深型鍋具，陽極處理增加硬度不易刮傷。
◎ 鍋蓋有蒸氣孔，鍋蓋及握把為矽膠材質，可以隔熱。</t>
        </is>
      </c>
    </row>
    <row r="1106">
      <c r="A1106" t="inlineStr"/>
      <c r="B1106" t="inlineStr"/>
      <c r="C1106" t="inlineStr">
        <is>
          <t>COOKWARE</t>
        </is>
      </c>
      <c r="D1106">
        <f>U1106</f>
        <v/>
      </c>
      <c r="E1106" t="n">
        <v>1134350</v>
      </c>
      <c r="F1106" t="inlineStr">
        <is>
          <t>ALPINE COOKER 18+20 PAN SET</t>
        </is>
      </c>
      <c r="H1106" t="inlineStr">
        <is>
          <t>現場樣品</t>
        </is>
      </c>
      <c r="J1106" t="n">
        <v>3550</v>
      </c>
      <c r="K1106" t="inlineStr">
        <is>
          <t>◎ 煎盤：2.1L、本體：2.0L+3.0L、重量：1080g（附收納袋）。
◎ 材質：鋁合金。陽極處理增加硬度不易刮傷。握把：矽膠。
◎ 2L大鍋除了上把手外，側面附有提耳方便傾倒熱水。</t>
        </is>
      </c>
    </row>
    <row r="1107">
      <c r="A1107" t="inlineStr"/>
      <c r="B1107" t="inlineStr"/>
      <c r="C1107" t="inlineStr">
        <is>
          <t>COOKWARE</t>
        </is>
      </c>
      <c r="D1107">
        <f>U1107</f>
        <v/>
      </c>
      <c r="E1107" t="n">
        <v>1124903</v>
      </c>
      <c r="F1107" t="inlineStr">
        <is>
          <t>ALPINE COOKER 20</t>
        </is>
      </c>
      <c r="H1107" t="inlineStr">
        <is>
          <t>現場樣品</t>
        </is>
      </c>
      <c r="J1107" t="n">
        <v>1350</v>
      </c>
      <c r="K1107" t="inlineStr">
        <is>
          <t>◎ 容量：3.0L、重量：486g（附收納袋）。
◎ 使用熱傳導性高的鋁合金材質。
◎ 大容量的深型鍋具，陽極處理增加硬度不易刮傷。
◎ 鍋蓋有蒸氣孔，鍋蓋及握把為矽膠材質，可以隔熱。</t>
        </is>
      </c>
    </row>
    <row r="1108">
      <c r="A1108" t="inlineStr"/>
      <c r="B1108" t="inlineStr"/>
      <c r="C1108" t="inlineStr">
        <is>
          <t>COOKWARE</t>
        </is>
      </c>
      <c r="D1108">
        <f>U1108</f>
        <v/>
      </c>
      <c r="E1108" t="n">
        <v>1124904</v>
      </c>
      <c r="F1108" t="inlineStr">
        <is>
          <t>ALPINE COOKER 9 DEEP SHAPE</t>
        </is>
      </c>
      <c r="H1108" t="inlineStr">
        <is>
          <t>現場樣品</t>
        </is>
      </c>
      <c r="J1108" t="n">
        <v>800</v>
      </c>
      <c r="K1108" t="inlineStr">
        <is>
          <t>◎ 本體：400ml、重量：122g（附收納袋）。材質：鋁合金。陽極處理增加硬度不易刮傷。鍋蓋及握把：矽膠。
◎ 鍋蓋有蒸氣孔，可放一罐250g螺牙式瓦斯。</t>
        </is>
      </c>
    </row>
    <row r="1109">
      <c r="A1109" t="inlineStr"/>
      <c r="B1109" t="inlineStr"/>
      <c r="C1109" t="inlineStr">
        <is>
          <t>COOKWARE</t>
        </is>
      </c>
      <c r="D1109">
        <f>U1109</f>
        <v/>
      </c>
      <c r="E1109" t="n">
        <v>1124911</v>
      </c>
      <c r="F1109" t="inlineStr">
        <is>
          <t>ALPINE COOKER SOLO SET</t>
        </is>
      </c>
      <c r="H1109" t="inlineStr">
        <is>
          <t>現場樣品</t>
        </is>
      </c>
      <c r="J1109" t="n">
        <v>1460</v>
      </c>
      <c r="K1109" t="inlineStr">
        <is>
          <t>◎ 容量：0.4L+0.75L、重量：288g（附收納袋）。
◎ 使用熱傳導性高的鋁合金材質。
◎ 大容量的深型鍋具，陽極處理增加硬度不易刮傷。
◎ 鍋蓋有蒸氣孔，鍋蓋及握把為矽膠材質，可以隔熱。</t>
        </is>
      </c>
    </row>
    <row r="1110">
      <c r="A1110" t="inlineStr"/>
      <c r="B1110" t="inlineStr"/>
      <c r="C1110" t="inlineStr">
        <is>
          <t>COOKWARE</t>
        </is>
      </c>
      <c r="D1110">
        <f>U1110</f>
        <v/>
      </c>
      <c r="E1110" t="n">
        <v>1124598</v>
      </c>
      <c r="F1110" t="inlineStr">
        <is>
          <t>ALPINE COOKER SQUARE 12</t>
        </is>
      </c>
      <c r="H1110" t="inlineStr">
        <is>
          <t>現場樣品</t>
        </is>
      </c>
      <c r="J1110" t="n">
        <v>1100</v>
      </c>
      <c r="K1110" t="inlineStr">
        <is>
          <t>◎ 容量：0.8L、重量：179g（附收納袋）。
◎ 使用熱傳導性高的鋁合金材質。
◎ 方形設計更易收納。</t>
        </is>
      </c>
    </row>
    <row r="1111">
      <c r="A1111" t="inlineStr"/>
      <c r="B1111" t="inlineStr"/>
      <c r="C1111" t="inlineStr">
        <is>
          <t>COOKWARE</t>
        </is>
      </c>
      <c r="D1111">
        <f>U1111</f>
        <v/>
      </c>
      <c r="E1111" t="n">
        <v>1124599</v>
      </c>
      <c r="F1111" t="inlineStr">
        <is>
          <t>ALPINE COOKER SQUARE 12+13 SET</t>
        </is>
      </c>
      <c r="H1111" t="inlineStr">
        <is>
          <t>現場樣品</t>
        </is>
      </c>
      <c r="J1111" t="n">
        <v>2000</v>
      </c>
      <c r="K1111" t="inlineStr">
        <is>
          <t>◎ 容量：800ml+900ml、重量：383g（附收納袋）。
◎ 使用熱傳導性高的鋁合金材質。
◎ 方形設計更易收納。</t>
        </is>
      </c>
    </row>
    <row r="1112">
      <c r="A1112" t="inlineStr"/>
      <c r="B1112" t="inlineStr"/>
      <c r="C1112" t="inlineStr">
        <is>
          <t>COOKWARE</t>
        </is>
      </c>
      <c r="D1112">
        <f>U1112</f>
        <v/>
      </c>
      <c r="E1112" t="n">
        <v>1124597</v>
      </c>
      <c r="F1112" t="inlineStr">
        <is>
          <t>ALPINE COOKER SQUARE 13</t>
        </is>
      </c>
      <c r="H1112" t="inlineStr">
        <is>
          <t>現場樣品</t>
        </is>
      </c>
      <c r="J1112" t="n">
        <v>1180</v>
      </c>
      <c r="K1112" t="inlineStr">
        <is>
          <t>◎ 容量：0.9L、重量：220g（附收納袋）。
◎ 使用熱傳導性高的鋁合金材質。
◎ 方形設計更易收納。</t>
        </is>
      </c>
    </row>
    <row r="1113">
      <c r="A1113" t="inlineStr"/>
      <c r="B1113" t="inlineStr"/>
      <c r="C1113" t="inlineStr">
        <is>
          <t>COOKWARE</t>
        </is>
      </c>
      <c r="D1113">
        <f>U1113</f>
        <v/>
      </c>
      <c r="E1113" t="n">
        <v>1134345</v>
      </c>
      <c r="F1113" t="inlineStr">
        <is>
          <t>ALPINE FRYING PAN 16 DEEP SHAPE</t>
        </is>
      </c>
      <c r="H1113" t="inlineStr">
        <is>
          <t>現場樣品</t>
        </is>
      </c>
      <c r="J1113" t="n">
        <v>980</v>
      </c>
      <c r="K1113" t="inlineStr">
        <is>
          <t>◎ Φ：18x5cm、重量：217g（附收納袋）。
◎ 超輕量、把手可收納的煎鍋。使用熱傳導性高的鋁合金材質，表面防沾為鹵素加工。
◎ 陽極處理、鍋底壓紋設計不易刮傷。</t>
        </is>
      </c>
    </row>
    <row r="1114">
      <c r="A1114" t="inlineStr"/>
      <c r="B1114" t="inlineStr"/>
      <c r="C1114" t="inlineStr">
        <is>
          <t>COOKWARE</t>
        </is>
      </c>
      <c r="D1114">
        <f>U1114</f>
        <v/>
      </c>
      <c r="E1114" t="n">
        <v>1134346</v>
      </c>
      <c r="F1114" t="inlineStr">
        <is>
          <t>ALPINE FRYING PAN 18 DEEP SHAPE</t>
        </is>
      </c>
      <c r="J1114" t="n">
        <v>1110</v>
      </c>
      <c r="K1114" t="inlineStr">
        <is>
          <t>◎ Φ：19.7x5.5cm、重量：243g（附收納袋）。
◎ 超輕量、把手可收納的煎鍋。使用熱傳導性高的鋁合金材質，表面防沾為鹵素加工。
◎ 陽極處理、鍋底壓紋設計不易刮傷。</t>
        </is>
      </c>
    </row>
    <row r="1115">
      <c r="A1115" t="inlineStr"/>
      <c r="B1115" t="inlineStr"/>
      <c r="C1115" t="inlineStr">
        <is>
          <t>COOKWARE</t>
        </is>
      </c>
      <c r="D1115">
        <f>U1115</f>
        <v/>
      </c>
      <c r="E1115" t="n">
        <v>1134347</v>
      </c>
      <c r="F1115" t="inlineStr">
        <is>
          <t>ALPINE FRYING PAN 20 DEEP SHAPE</t>
        </is>
      </c>
      <c r="H1115" t="inlineStr">
        <is>
          <t>現場樣品</t>
        </is>
      </c>
      <c r="J1115" t="n">
        <v>1200</v>
      </c>
      <c r="K1115" t="inlineStr">
        <is>
          <t>◎ Φ：21.8x6.6cm、重量：293g（附收納袋）。
◎ 超輕量、把手可收納的煎鍋。使用熱傳導性高的鋁合金材質，表面防沾為鹵素加工。
◎ 陽極處理、鍋底壓紋設計不易刮傷。</t>
        </is>
      </c>
    </row>
    <row r="1116">
      <c r="A1116" t="inlineStr"/>
      <c r="B1116" t="inlineStr"/>
      <c r="C1116" t="inlineStr">
        <is>
          <t>COOKWARE</t>
        </is>
      </c>
      <c r="D1116">
        <f>U1116</f>
        <v/>
      </c>
      <c r="E1116" t="n">
        <v>1134250</v>
      </c>
      <c r="F1116" t="inlineStr">
        <is>
          <t>ALPINE KETTLE 0.6L</t>
        </is>
      </c>
      <c r="H1116" t="inlineStr">
        <is>
          <t>現場樣品</t>
        </is>
      </c>
      <c r="J1116" t="n">
        <v>830</v>
      </c>
      <c r="K1116" t="inlineStr">
        <is>
          <t>◎ 容量：600ml、尺寸：16x7.5cm、重量：183g。
◎ 超輕量茶壺，使用熱傳導性高的鋁合金材質，陽極處理不易刮傷。</t>
        </is>
      </c>
    </row>
    <row r="1117">
      <c r="A1117" t="inlineStr"/>
      <c r="B1117" t="inlineStr"/>
      <c r="C1117" t="inlineStr">
        <is>
          <t>COOKWARE</t>
        </is>
      </c>
      <c r="D1117">
        <f>U1117</f>
        <v/>
      </c>
      <c r="E1117" t="n">
        <v>1134251</v>
      </c>
      <c r="F1117" t="inlineStr">
        <is>
          <t>ALPINE KETTLE 0.9L</t>
        </is>
      </c>
      <c r="J1117" t="n">
        <v>940</v>
      </c>
      <c r="K1117" t="inlineStr">
        <is>
          <t>◎ 容量：900ml、尺寸：16x9cm、重量：210g。
◎ 超輕量茶壺，使用熱傳導性高的鋁合金材質，陽極處理不易刮傷。</t>
        </is>
      </c>
    </row>
    <row r="1118">
      <c r="A1118" t="inlineStr"/>
      <c r="B1118" t="inlineStr"/>
      <c r="C1118" t="inlineStr">
        <is>
          <t>COOKWARE</t>
        </is>
      </c>
      <c r="D1118">
        <f>U1118</f>
        <v/>
      </c>
      <c r="E1118" t="n">
        <v>1134441</v>
      </c>
      <c r="F1118" t="inlineStr">
        <is>
          <t>COOLER BOX 2.5L</t>
        </is>
      </c>
      <c r="G1118" t="inlineStr">
        <is>
          <t>DNV      KGN      LGY      OG</t>
        </is>
      </c>
      <c r="H1118" t="inlineStr">
        <is>
          <t>DNV</t>
        </is>
      </c>
      <c r="J1118" t="n">
        <v>660</v>
      </c>
      <c r="K1118" t="inlineStr">
        <is>
          <t>◎ 尺寸：8x21x15cm。
◎ 輕巧好攜帶的保冰袋。
◎ 表面：70D抗撕裂尼龍布。內層：鋁鍍膜+泡棉填充。</t>
        </is>
      </c>
    </row>
    <row r="1119">
      <c r="A1119" t="inlineStr"/>
      <c r="B1119" t="inlineStr"/>
      <c r="C1119" t="inlineStr">
        <is>
          <t>COOKWARE</t>
        </is>
      </c>
      <c r="D1119">
        <f>U1119</f>
        <v/>
      </c>
      <c r="E1119" t="n">
        <v>1134442</v>
      </c>
      <c r="F1119" t="inlineStr">
        <is>
          <t>COOLER BOX 4.0L</t>
        </is>
      </c>
      <c r="G1119" t="inlineStr">
        <is>
          <t>DNV      KGN      LGY      OG</t>
        </is>
      </c>
      <c r="H1119" t="inlineStr">
        <is>
          <t>DNV</t>
        </is>
      </c>
      <c r="J1119" t="n">
        <v>740</v>
      </c>
      <c r="K1119" t="inlineStr">
        <is>
          <t>◎ 尺寸：13x21x15cm。
◎ 輕巧好攜帶的保冰袋。
◎ 表面：70D抗撕裂尼龍布。內層：鋁鍍膜+泡棉填充。</t>
        </is>
      </c>
    </row>
    <row r="1120">
      <c r="A1120" t="inlineStr"/>
      <c r="B1120" t="inlineStr"/>
      <c r="C1120" t="inlineStr">
        <is>
          <t>COOKWARE</t>
        </is>
      </c>
      <c r="D1120">
        <f>U1120</f>
        <v/>
      </c>
      <c r="E1120" t="n">
        <v>1124346</v>
      </c>
      <c r="F1120" t="inlineStr">
        <is>
          <t>FEATHER SPORK</t>
        </is>
      </c>
      <c r="H1120" t="inlineStr">
        <is>
          <t>現場樣品</t>
        </is>
      </c>
      <c r="J1120" t="n">
        <v>480</v>
      </c>
      <c r="K1120" t="inlineStr">
        <is>
          <t>◎ 尺寸：24.6 x 6.6 x 2.4cm、收納：16.5 x 6.6 x 3.8cm。
◎ 鍋鏟：TPX (聚甲基戊烯)、握把：尼龍，耐熱溫度：- 20℃~210℃。
◎ 分離式長柄湯匙。只需滑動即可拆下手柄。</t>
        </is>
      </c>
    </row>
    <row r="1121">
      <c r="A1121" t="inlineStr"/>
      <c r="B1121" t="inlineStr"/>
      <c r="C1121" t="inlineStr">
        <is>
          <t>COOKWARE</t>
        </is>
      </c>
      <c r="D1121">
        <f>U1121</f>
        <v/>
      </c>
      <c r="E1121" t="n">
        <v>1124717</v>
      </c>
      <c r="F1121" t="inlineStr">
        <is>
          <t>NOBASHI</t>
        </is>
      </c>
      <c r="H1121" t="inlineStr">
        <is>
          <t>現場樣品</t>
        </is>
      </c>
      <c r="J1121" t="n">
        <v>980</v>
      </c>
      <c r="K1121" t="inlineStr">
        <is>
          <t>◎ 尺寸：22.4 x 8.7 x 6.3cm、收納：14.5 x 8.7 x 7.7cm。
◎ 材質：鍋鏟：TPX (聚甲基戊烯)、握把：尼龍，耐熱溫度：- 20℃~210℃。
◎ 分離式長柄湯匙。只需滑動即可拆下手柄。</t>
        </is>
      </c>
    </row>
    <row r="1122">
      <c r="A1122" t="inlineStr"/>
      <c r="B1122" t="inlineStr"/>
      <c r="C1122" t="inlineStr">
        <is>
          <t>COOKWARE</t>
        </is>
      </c>
      <c r="D1122">
        <f>U1122</f>
        <v/>
      </c>
      <c r="E1122" t="n">
        <v>1124510</v>
      </c>
      <c r="F1122" t="inlineStr">
        <is>
          <t>O.D. COMPACT DRIPPER 2</t>
        </is>
      </c>
      <c r="H1122" t="inlineStr">
        <is>
          <t>現場樣品</t>
        </is>
      </c>
      <c r="J1122" t="n">
        <v>720</v>
      </c>
      <c r="K1122" t="inlineStr">
        <is>
          <t>◎ 容量：350ml。杯身：不鏽鋼、杯蓋：聚丙烯（PP）墊圈：矽膠，不含 BPA、PFAS。
◎ 雙層真空保溫杯，具備優異的保冷與保溫效能。</t>
        </is>
      </c>
    </row>
    <row r="1123">
      <c r="A1123" t="inlineStr"/>
      <c r="B1123" t="inlineStr"/>
      <c r="C1123" t="inlineStr">
        <is>
          <t>COOKWARE</t>
        </is>
      </c>
      <c r="D1123">
        <f>U1123</f>
        <v/>
      </c>
      <c r="E1123" t="n">
        <v>1124538</v>
      </c>
      <c r="F1123" t="inlineStr">
        <is>
          <t>O.D. COMPACT DRIPPER 4</t>
        </is>
      </c>
      <c r="H1123" t="inlineStr">
        <is>
          <t>現場樣品</t>
        </is>
      </c>
      <c r="J1123" t="n">
        <v>800</v>
      </c>
      <c r="K1123" t="inlineStr">
        <is>
          <t>◎ 容量：470ml。杯身：不鏽鋼、杯蓋：聚丙烯（PP）墊圈：矽膠，不含 BPA、PFAS。
◎ 雙層真空保溫杯，具備優異的保冷與保溫效能。</t>
        </is>
      </c>
    </row>
    <row r="1124">
      <c r="A1124" t="inlineStr"/>
      <c r="B1124" t="inlineStr"/>
      <c r="C1124" t="inlineStr">
        <is>
          <t>COOKWARE</t>
        </is>
      </c>
      <c r="D1124">
        <f>U1124</f>
        <v/>
      </c>
      <c r="E1124" t="n">
        <v>1134451</v>
      </c>
      <c r="F1124" t="inlineStr">
        <is>
          <t>O.D. COOKING PADDLE</t>
        </is>
      </c>
      <c r="G1124" t="inlineStr">
        <is>
          <t>GY</t>
        </is>
      </c>
      <c r="H1124" t="inlineStr">
        <is>
          <t>GY</t>
        </is>
      </c>
      <c r="J1124" t="n">
        <v>270</v>
      </c>
      <c r="K1124" t="inlineStr">
        <is>
          <t>◎ 尺寸：24.6 x 6.6 x 2.4cm、收納：16.5 x 6.6 x 3.8cm。
◎ 鍋鏟：TPX (聚甲基戊烯)、握把：尼龍，耐熱溫度：- 20℃~210℃。
◎ 分離式長柄湯匙。只需滑動即可拆下手柄。</t>
        </is>
      </c>
    </row>
    <row r="1125">
      <c r="A1125" t="inlineStr"/>
      <c r="B1125" t="inlineStr"/>
      <c r="C1125" t="inlineStr">
        <is>
          <t>COOKWARE</t>
        </is>
      </c>
      <c r="D1125">
        <f>U1125</f>
        <v/>
      </c>
      <c r="E1125" t="n">
        <v>1134452</v>
      </c>
      <c r="F1125" t="inlineStr">
        <is>
          <t>O.D. LADLE</t>
        </is>
      </c>
      <c r="G1125" t="inlineStr">
        <is>
          <t>GY</t>
        </is>
      </c>
      <c r="H1125" t="inlineStr">
        <is>
          <t>GY</t>
        </is>
      </c>
      <c r="J1125" t="n">
        <v>250</v>
      </c>
      <c r="K1125" t="inlineStr">
        <is>
          <t>◎ 尺寸：22.4 x 8.7 x 6.3cm、收納：14.5 x 8.7 x 7.7cm。
◎ 材質：鍋鏟：TPX (聚甲基戊烯)、握把：尼龍，耐熱溫度：- 20℃~210℃。
◎ 分離式長柄湯匙。只需滑動即可拆下手柄。</t>
        </is>
      </c>
    </row>
    <row r="1126">
      <c r="A1126" t="inlineStr"/>
      <c r="B1126" t="inlineStr"/>
      <c r="C1126" t="inlineStr">
        <is>
          <t>COOKWARE</t>
        </is>
      </c>
      <c r="D1126">
        <f>U1126</f>
        <v/>
      </c>
      <c r="E1126" t="n">
        <v>1134253</v>
      </c>
      <c r="F1126" t="inlineStr">
        <is>
          <t>SPOON &amp; FORK SET FOR STUCK IN NOBASHI</t>
        </is>
      </c>
      <c r="G1126" t="inlineStr">
        <is>
          <t>BK</t>
        </is>
      </c>
      <c r="H1126" t="inlineStr">
        <is>
          <t>BK</t>
        </is>
      </c>
      <c r="J1126" t="n">
        <v>250</v>
      </c>
      <c r="K1126" t="inlineStr">
        <is>
          <t>◎ 湯匙/叉子：玻璃纖維（BPA-FREE）、接合處：鋁合金。
◎ 專為野箸搭配的湯叉組，透過簡單的螺旋鎖入野箸握柄連結（無法單獨使用）。</t>
        </is>
      </c>
    </row>
    <row r="1127">
      <c r="A1127" t="inlineStr"/>
      <c r="B1127" t="inlineStr"/>
      <c r="C1127" t="inlineStr">
        <is>
          <t>COOKWARE</t>
        </is>
      </c>
      <c r="D1127">
        <f>U1127</f>
        <v/>
      </c>
      <c r="E1127" t="n">
        <v>1124870</v>
      </c>
      <c r="F1127" t="inlineStr">
        <is>
          <t>STACKING STAINLESS STEEL CUP 300</t>
        </is>
      </c>
      <c r="G1127" t="inlineStr">
        <is>
          <t>STNLS</t>
        </is>
      </c>
      <c r="H1127" t="inlineStr">
        <is>
          <t>STNLS</t>
        </is>
      </c>
      <c r="J1127" t="n">
        <v>440</v>
      </c>
      <c r="K1127" t="inlineStr">
        <is>
          <t>◎ 容量：300ml、重量：70g。
◎ 帶有把手的18-8不鏽鋼杯子，可以堆疊存放。</t>
        </is>
      </c>
    </row>
    <row r="1128">
      <c r="A1128" t="inlineStr"/>
      <c r="B1128" t="inlineStr"/>
      <c r="C1128" t="inlineStr">
        <is>
          <t>COOKWARE</t>
        </is>
      </c>
      <c r="D1128">
        <f>U1128</f>
        <v/>
      </c>
      <c r="E1128" t="n">
        <v>1124566</v>
      </c>
      <c r="F1128" t="inlineStr">
        <is>
          <t>STAINLESS CUP 390</t>
        </is>
      </c>
      <c r="H1128" t="inlineStr">
        <is>
          <t>現場樣品</t>
        </is>
      </c>
      <c r="J1128" t="n">
        <v>360</v>
      </c>
      <c r="K1128" t="inlineStr">
        <is>
          <t>◎ 容量：390ml、重量：71g。
◎ 使用18-8不銹鋼材質。
◎ 固定式握把，堅固耐用，輕量化適合登山戶外活動使用。</t>
        </is>
      </c>
    </row>
    <row r="1129">
      <c r="A1129" t="inlineStr"/>
      <c r="B1129" t="inlineStr"/>
      <c r="C1129" t="inlineStr">
        <is>
          <t>COOKWARE</t>
        </is>
      </c>
      <c r="D1129">
        <f>U1129</f>
        <v/>
      </c>
      <c r="E1129" t="n">
        <v>1124871</v>
      </c>
      <c r="F1129" t="inlineStr">
        <is>
          <t>STAINLESS STEEL THERMO CUP 250</t>
        </is>
      </c>
      <c r="G1129" t="inlineStr">
        <is>
          <t>STNLS</t>
        </is>
      </c>
      <c r="H1129" t="inlineStr">
        <is>
          <t>STNLS</t>
        </is>
      </c>
      <c r="J1129" t="n">
        <v>540</v>
      </c>
      <c r="K1129" t="inlineStr">
        <is>
          <t>◎ 容量：250ml、重量：133g。
◎ 18-8不銹鋼製成，具有雙重結構，防銹、隔熱和防冷的作用。</t>
        </is>
      </c>
    </row>
    <row r="1130">
      <c r="A1130" t="inlineStr"/>
      <c r="B1130" t="inlineStr"/>
      <c r="C1130" t="inlineStr">
        <is>
          <t>COOKWARE</t>
        </is>
      </c>
      <c r="D1130">
        <f>U1130</f>
        <v/>
      </c>
      <c r="E1130" t="n">
        <v>1134408</v>
      </c>
      <c r="F1130" t="inlineStr">
        <is>
          <t>STAINLESS STEEL THERMO TUMBLER 350</t>
        </is>
      </c>
      <c r="G1130" t="inlineStr">
        <is>
          <t>BK      IV      STNLS</t>
        </is>
      </c>
      <c r="H1130" t="inlineStr">
        <is>
          <t>IV</t>
        </is>
      </c>
      <c r="J1130" t="n">
        <v>920</v>
      </c>
      <c r="K1130" t="inlineStr">
        <is>
          <t>◎ 容量：350ml。杯身：不鏽鋼、杯蓋：聚丙烯（PP）墊圈：矽膠，不含 BPA、PFAS。
◎ 雙層真空保溫杯，具備優異的保冷與保溫效能。</t>
        </is>
      </c>
    </row>
    <row r="1131">
      <c r="A1131" t="inlineStr"/>
      <c r="B1131" t="inlineStr"/>
      <c r="C1131" t="inlineStr">
        <is>
          <t>COOKWARE</t>
        </is>
      </c>
      <c r="D1131">
        <f>U1131</f>
        <v/>
      </c>
      <c r="E1131" t="n">
        <v>1134409</v>
      </c>
      <c r="F1131" t="inlineStr">
        <is>
          <t>STAINLESS STEEL THERMO TUMBLER 470</t>
        </is>
      </c>
      <c r="G1131" t="inlineStr">
        <is>
          <t>BK      IV      STNLS</t>
        </is>
      </c>
      <c r="H1131" t="inlineStr">
        <is>
          <t>IV</t>
        </is>
      </c>
      <c r="J1131" t="n">
        <v>950</v>
      </c>
      <c r="K1131" t="inlineStr">
        <is>
          <t>◎ 容量：470ml。杯身：不鏽鋼、杯蓋：聚丙烯（PP）墊圈：矽膠，不含 BPA、PFAS。
◎ 雙層真空保溫杯，具備優異的保冷與保溫效能。</t>
        </is>
      </c>
    </row>
    <row r="1132">
      <c r="A1132" t="inlineStr"/>
      <c r="B1132" t="inlineStr"/>
      <c r="C1132" t="inlineStr">
        <is>
          <t>COOKWARE</t>
        </is>
      </c>
      <c r="D1132">
        <f>U1132</f>
        <v/>
      </c>
      <c r="E1132" t="n">
        <v>1124493</v>
      </c>
      <c r="F1132" t="inlineStr">
        <is>
          <t>STAINLESS THERMO MUG 310</t>
        </is>
      </c>
      <c r="J1132" t="n">
        <v>560</v>
      </c>
      <c r="K1132" t="inlineStr">
        <is>
          <t>◎ 容量：310ml、重量：132g。
◎ 18-8不銹鋼製成，具有雙重結構，防銹、隔熱和防冷的作用。</t>
        </is>
      </c>
    </row>
    <row r="1133">
      <c r="A1133" t="inlineStr"/>
      <c r="B1133" t="inlineStr"/>
      <c r="C1133" t="inlineStr">
        <is>
          <t>COOKWARE</t>
        </is>
      </c>
      <c r="D1133">
        <f>U1133</f>
        <v/>
      </c>
      <c r="E1133" t="n">
        <v>1134254</v>
      </c>
      <c r="F1133" t="inlineStr">
        <is>
          <t>STUCK IN CUTLERY SET</t>
        </is>
      </c>
      <c r="G1133" t="inlineStr">
        <is>
          <t>DGY</t>
        </is>
      </c>
      <c r="H1133" t="inlineStr">
        <is>
          <t>DGY</t>
        </is>
      </c>
      <c r="J1133" t="n">
        <v>610</v>
      </c>
      <c r="K1133" t="inlineStr">
        <is>
          <t>◎ 筷子全長22cm、湯匙全長19.8cm、叉子全長19.4cm，收納尺寸13.5cm。
◎ 材質：湯匙 / 叉/筷子尾端：玻璃纖維；前端：鋁合金。
◎ 方便收納攜帶的全套餐具組。筷子和湯匙/叉子不能同時使用。</t>
        </is>
      </c>
    </row>
    <row r="1134">
      <c r="A1134" t="inlineStr"/>
      <c r="B1134" t="inlineStr"/>
      <c r="C1134" t="inlineStr">
        <is>
          <t>COOKWARE</t>
        </is>
      </c>
      <c r="D1134">
        <f>U1134</f>
        <v/>
      </c>
      <c r="E1134" t="n">
        <v>1134252</v>
      </c>
      <c r="F1134" t="inlineStr">
        <is>
          <t>STUCK IN NOBASHI</t>
        </is>
      </c>
      <c r="G1134" t="inlineStr">
        <is>
          <t>DGY      GN      NV      OG      YL</t>
        </is>
      </c>
      <c r="H1134" t="inlineStr">
        <is>
          <t>DGY      OG      NV      GN      YL</t>
        </is>
      </c>
      <c r="J1134" t="n">
        <v>600</v>
      </c>
      <c r="K1134" t="inlineStr">
        <is>
          <t>◎ 長度：22cm、收納長度：13.5cm
◎ 材質：超輕量鋁合金、玻璃纖維。
◎ 連接的部分是一種簡單的螺旋式結構，柄端扁平的設計可防止筷子滾動，附收納袋。</t>
        </is>
      </c>
    </row>
    <row r="1135">
      <c r="A1135" t="inlineStr"/>
      <c r="B1135" t="inlineStr"/>
      <c r="C1135" t="inlineStr">
        <is>
          <t>COOKWARE</t>
        </is>
      </c>
      <c r="D1135">
        <f>U1135</f>
        <v/>
      </c>
      <c r="E1135" t="n">
        <v>1134403</v>
      </c>
      <c r="F1135" t="inlineStr">
        <is>
          <t>THERMO MUG 200 MONTBELL LOGO</t>
        </is>
      </c>
      <c r="G1135" t="inlineStr">
        <is>
          <t>DGY      GN      IV      NV      RD      TQ</t>
        </is>
      </c>
      <c r="H1135" t="inlineStr">
        <is>
          <t>IV</t>
        </is>
      </c>
      <c r="J1135" t="n">
        <v>300</v>
      </c>
      <c r="K1135" t="inlineStr">
        <is>
          <t>◎ 容量：200ml。杯身：不鏽鋼、杯蓋：聚丙烯（PP）墊圈：矽膠，不含 BPA、PFAS。
◎ 雙層真空保溫杯，具備優異的保冷與保溫效能。</t>
        </is>
      </c>
    </row>
    <row r="1136">
      <c r="A1136" t="inlineStr"/>
      <c r="B1136" t="inlineStr"/>
      <c r="C1136" t="inlineStr">
        <is>
          <t>COOKWARE</t>
        </is>
      </c>
      <c r="D1136">
        <f>U1136</f>
        <v/>
      </c>
      <c r="E1136" t="n">
        <v>1134404</v>
      </c>
      <c r="F1136" t="inlineStr">
        <is>
          <t>THERMO MUG 350 MONTBELL LOGO</t>
        </is>
      </c>
      <c r="G1136" t="inlineStr">
        <is>
          <t>DGY      GN      IV      NV</t>
        </is>
      </c>
      <c r="H1136" t="inlineStr">
        <is>
          <t>GN</t>
        </is>
      </c>
      <c r="J1136" t="n">
        <v>430</v>
      </c>
      <c r="K1136" t="inlineStr">
        <is>
          <t>◎ 容量：350ml。杯身：不鏽鋼、杯蓋：聚丙烯（PP）墊圈：矽膠，不含 BPA、PFAS。
◎ 雙層真空保溫杯，具備優異的保冷與保溫效能。</t>
        </is>
      </c>
    </row>
    <row r="1137">
      <c r="A1137" t="inlineStr"/>
      <c r="B1137" t="inlineStr"/>
      <c r="C1137" t="inlineStr">
        <is>
          <t>COOKWARE</t>
        </is>
      </c>
      <c r="D1137">
        <f>U1137</f>
        <v/>
      </c>
      <c r="E1137" t="n">
        <v>1134405</v>
      </c>
      <c r="F1137" t="inlineStr">
        <is>
          <t>THERMO TUMBLER 300 MB LOGO</t>
        </is>
      </c>
      <c r="G1137" t="inlineStr">
        <is>
          <t>IV      NV      RD      TQ</t>
        </is>
      </c>
      <c r="H1137" t="inlineStr">
        <is>
          <t>TQ</t>
        </is>
      </c>
      <c r="J1137" t="n">
        <v>370</v>
      </c>
      <c r="K1137" t="inlineStr">
        <is>
          <t>◎ 容量：300ml。杯身：聚丙烯（PP）、保溫材質：泡棉樹脂、杯蓋：聚丙烯（PP）、TPE，不含 BPA、PFAS。
◎ 雙層真空保溫杯，具備優異的保冷與保溫效能。</t>
        </is>
      </c>
    </row>
    <row r="1138">
      <c r="A1138" t="inlineStr"/>
      <c r="B1138" t="inlineStr"/>
      <c r="C1138" t="inlineStr">
        <is>
          <t>COOKWARE</t>
        </is>
      </c>
      <c r="D1138">
        <f>U1138</f>
        <v/>
      </c>
      <c r="E1138" t="n">
        <v>1134406</v>
      </c>
      <c r="F1138" t="inlineStr">
        <is>
          <t>THERMO TUMBLER 470 MB LOGO</t>
        </is>
      </c>
      <c r="G1138" t="inlineStr">
        <is>
          <t>DGY      IV      NV      RD</t>
        </is>
      </c>
      <c r="H1138" t="inlineStr">
        <is>
          <t>RD</t>
        </is>
      </c>
      <c r="J1138" t="n">
        <v>430</v>
      </c>
      <c r="K1138" t="inlineStr">
        <is>
          <t>◎ 容量：470ml。杯身：聚丙烯（PP）、保溫材質：泡棉樹脂、杯蓋：聚丙烯（PP）、TPE，不含 BPA、PFAS。
◎ 雙層真空保溫杯，具備優異的保冷與保溫效能。</t>
        </is>
      </c>
    </row>
    <row r="1139">
      <c r="A1139" t="inlineStr"/>
      <c r="B1139" t="inlineStr"/>
      <c r="C1139" t="inlineStr">
        <is>
          <t>COOKWARE</t>
        </is>
      </c>
      <c r="D1139">
        <f>U1139</f>
        <v/>
      </c>
      <c r="E1139" t="n">
        <v>1124512</v>
      </c>
      <c r="F1139" t="inlineStr">
        <is>
          <t>TITANIUM BOWL DISH SET</t>
        </is>
      </c>
      <c r="H1139" t="inlineStr">
        <is>
          <t>現場樣品</t>
        </is>
      </c>
      <c r="J1139" t="n">
        <v>1780</v>
      </c>
      <c r="K1139" t="inlineStr">
        <is>
          <t>◎ 外鍋：750ml、內鍋：550ml、上蓋：400ml、重量：205g（附收納袋）。
◎ 輕量化的鈦合金炊具，兩鍋一煎盤。
◎ 鈦合金導熱快速、抗腐蝕，加熱快，更省瓦斯。
◎ 可相互套疊收納，可另購大鍋套疊，內附尼龍收藏袋。</t>
        </is>
      </c>
    </row>
    <row r="1140">
      <c r="A1140" t="inlineStr"/>
      <c r="B1140" t="inlineStr"/>
      <c r="C1140" t="inlineStr">
        <is>
          <t>COOKWARE</t>
        </is>
      </c>
      <c r="D1140">
        <f>U1140</f>
        <v/>
      </c>
      <c r="E1140" t="n">
        <v>1134351</v>
      </c>
      <c r="F1140" t="inlineStr">
        <is>
          <t>TITANIUM CUP 300</t>
        </is>
      </c>
      <c r="H1140" t="inlineStr">
        <is>
          <t>現場樣品</t>
        </is>
      </c>
      <c r="J1140" t="n">
        <v>550</v>
      </c>
      <c r="K1140" t="inlineStr">
        <is>
          <t>◎ 材質：鈦合金（無 PFAS）、重量：50g、容量：300ml。
◎ 輕量耐用、耐腐蝕、折疊手柄設計，方便收納，內壁有刻度標示。</t>
        </is>
      </c>
    </row>
    <row r="1141">
      <c r="A1141" t="inlineStr"/>
      <c r="B1141" t="inlineStr"/>
      <c r="C1141" t="inlineStr">
        <is>
          <t>COOKWARE</t>
        </is>
      </c>
      <c r="D1141">
        <f>U1141</f>
        <v/>
      </c>
      <c r="E1141" t="n">
        <v>1134352</v>
      </c>
      <c r="F1141" t="inlineStr">
        <is>
          <t>TITANIUM CUP 450</t>
        </is>
      </c>
      <c r="H1141" t="inlineStr">
        <is>
          <t>現場樣品</t>
        </is>
      </c>
      <c r="J1141" t="n">
        <v>800</v>
      </c>
      <c r="K1141" t="inlineStr">
        <is>
          <t>◎ 材質：鈦合金（無 PFAS）、重量：62g、容量：450ml。
◎ 輕量耐用、耐腐蝕、折疊手柄設計，方便收納，內壁有刻度標示。</t>
        </is>
      </c>
    </row>
    <row r="1142">
      <c r="A1142" t="inlineStr"/>
      <c r="B1142" t="inlineStr"/>
      <c r="C1142" t="inlineStr">
        <is>
          <t>COOKWARE</t>
        </is>
      </c>
      <c r="D1142">
        <f>U1142</f>
        <v/>
      </c>
      <c r="E1142" t="n">
        <v>1134378</v>
      </c>
      <c r="F1142" t="inlineStr">
        <is>
          <t>TITANIUM CUP 650</t>
        </is>
      </c>
      <c r="J1142" t="n">
        <v>1300</v>
      </c>
      <c r="K1142" t="inlineStr">
        <is>
          <t>◎ 容量：600ml、重量：80g。
◎ 高強度、輕量鈦杯，手把可摺收。</t>
        </is>
      </c>
    </row>
    <row r="1143">
      <c r="A1143" t="inlineStr"/>
      <c r="B1143" t="inlineStr"/>
      <c r="C1143" t="inlineStr">
        <is>
          <t>COOKWARE</t>
        </is>
      </c>
      <c r="D1143">
        <f>U1143</f>
        <v/>
      </c>
      <c r="E1143" t="n">
        <v>1124915</v>
      </c>
      <c r="F1143" t="inlineStr">
        <is>
          <t>TITANIUM SIERRA CUP 280</t>
        </is>
      </c>
      <c r="H1143" t="inlineStr">
        <is>
          <t>現場樣品</t>
        </is>
      </c>
      <c r="J1143" t="n">
        <v>760</v>
      </c>
      <c r="K1143" t="inlineStr">
        <is>
          <t>◎ 容量：280ml、重量：50g。
◎ 輕量化鈦合金水杯。</t>
        </is>
      </c>
    </row>
    <row r="1144">
      <c r="A1144" t="inlineStr"/>
      <c r="B1144" t="inlineStr"/>
      <c r="C1144" t="inlineStr">
        <is>
          <t>COOKWARE</t>
        </is>
      </c>
      <c r="D1144">
        <f>U1144</f>
        <v/>
      </c>
      <c r="E1144" t="n">
        <v>1124916</v>
      </c>
      <c r="F1144" t="inlineStr">
        <is>
          <t>TITANIUM SIERRA CUP 400</t>
        </is>
      </c>
      <c r="H1144" t="inlineStr">
        <is>
          <t>現場樣品</t>
        </is>
      </c>
      <c r="J1144" t="n">
        <v>840</v>
      </c>
      <c r="K1144" t="inlineStr">
        <is>
          <t>◎ 容量：400ml、重量：54g。
◎ 輕量化鈦合金水杯。</t>
        </is>
      </c>
    </row>
    <row r="1145">
      <c r="A1145" t="inlineStr"/>
      <c r="B1145" t="inlineStr"/>
      <c r="C1145" t="inlineStr">
        <is>
          <t>COOKWARE</t>
        </is>
      </c>
      <c r="D1145">
        <f>U1145</f>
        <v/>
      </c>
      <c r="E1145" t="n">
        <v>1124345</v>
      </c>
      <c r="F1145" t="inlineStr">
        <is>
          <t>TITANIUM SPOON &amp; FORK SET</t>
        </is>
      </c>
      <c r="H1145" t="inlineStr">
        <is>
          <t>現場樣品</t>
        </is>
      </c>
      <c r="J1145" t="n">
        <v>800</v>
      </c>
      <c r="K1145" t="inlineStr">
        <is>
          <t>◎ 重量：30g、長度：16.5cm。
◎ 材質：（本體）鈦、（鉤環）鋁。
◎ 叉匙前緣的部分為光滑鏡面加工，觸感良好。手柄的部分鏤空以減輕重量。附贈迷你登山扣，方便將湯匙與叉子做連結。</t>
        </is>
      </c>
    </row>
    <row r="1146">
      <c r="A1146" t="inlineStr"/>
      <c r="B1146" t="inlineStr"/>
      <c r="C1146" t="inlineStr">
        <is>
          <t>COOKWARE</t>
        </is>
      </c>
      <c r="D1146">
        <f>U1146</f>
        <v/>
      </c>
      <c r="E1146" t="n">
        <v>1134353</v>
      </c>
      <c r="F1146" t="inlineStr">
        <is>
          <t>TITANIUM THERMO CUP 300</t>
        </is>
      </c>
      <c r="H1146" t="inlineStr">
        <is>
          <t>現場樣品</t>
        </is>
      </c>
      <c r="J1146" t="n">
        <v>1390</v>
      </c>
      <c r="K1146" t="inlineStr">
        <is>
          <t>◎ 材質：雙層鈦合金（無 PFAS）、重量：100g、容量：300ml。
◎ 雙層結構提供優異保溫效果，折疊手柄設計，輕量耐用，內壁有刻度標示。</t>
        </is>
      </c>
    </row>
    <row r="1147">
      <c r="A1147" t="inlineStr"/>
      <c r="B1147" t="inlineStr"/>
      <c r="C1147" t="inlineStr">
        <is>
          <t>COOKWARE</t>
        </is>
      </c>
      <c r="D1147">
        <f>U1147</f>
        <v/>
      </c>
      <c r="E1147" t="n">
        <v>1134354</v>
      </c>
      <c r="F1147" t="inlineStr">
        <is>
          <t>TITANIUM THERMO CUP 450</t>
        </is>
      </c>
      <c r="H1147" t="inlineStr">
        <is>
          <t>現場樣品</t>
        </is>
      </c>
      <c r="J1147" t="n">
        <v>1560</v>
      </c>
      <c r="K1147" t="inlineStr">
        <is>
          <t>◎ 容量：450ml、重量：62g。
◎ 高強度、輕量鈦杯，內壁有刻度，手把可摺收。</t>
        </is>
      </c>
    </row>
    <row r="1148">
      <c r="A1148" t="inlineStr"/>
      <c r="B1148" t="inlineStr"/>
      <c r="C1148" t="inlineStr">
        <is>
          <t>CYCLING</t>
        </is>
      </c>
      <c r="D1148">
        <f>U1148</f>
        <v/>
      </c>
      <c r="E1148" t="n">
        <v>1130614</v>
      </c>
      <c r="F1148" t="inlineStr">
        <is>
          <t>CYCLING BELL MONTA BEAR</t>
        </is>
      </c>
      <c r="J1148" t="n">
        <v>320</v>
      </c>
      <c r="K1148" t="inlineStr">
        <is>
          <t xml:space="preserve">◎ 材質：鋁合金。
◎ 尺寸：Φ45mm，適用把手管徑 Φ19～22.2mm（使用隨附墊片時）。
◎ 印有mont-bell蒙塔熊臉部圖案的自行車鈴。 </t>
        </is>
      </c>
    </row>
    <row r="1149">
      <c r="A1149" t="inlineStr"/>
      <c r="B1149" t="inlineStr"/>
      <c r="C1149" t="inlineStr">
        <is>
          <t>EYE WEAR</t>
        </is>
      </c>
      <c r="D1149">
        <f>U1149</f>
        <v/>
      </c>
      <c r="E1149" t="n">
        <v>1109249</v>
      </c>
      <c r="F1149" t="inlineStr">
        <is>
          <t>2-WAY DRY GLASSES STRAP</t>
        </is>
      </c>
      <c r="G1149" t="inlineStr">
        <is>
          <t>BK</t>
        </is>
      </c>
      <c r="J1149" t="n">
        <v>470</v>
      </c>
      <c r="K1149" t="inlineStr">
        <is>
          <t>◎ 材質：熱塑性彈性體。尺寸：長41cm （含零件）。
◎ 兩用眼鏡帶，採用不吸水快乾繩。※部分眼鏡款式可能無法使用。</t>
        </is>
      </c>
    </row>
    <row r="1150">
      <c r="A1150" t="inlineStr"/>
      <c r="B1150" t="inlineStr"/>
      <c r="C1150" t="inlineStr">
        <is>
          <t>EYE WEAR</t>
        </is>
      </c>
      <c r="D1150">
        <f>U1150</f>
        <v/>
      </c>
      <c r="E1150" t="n">
        <v>1109242</v>
      </c>
      <c r="F1150" t="inlineStr">
        <is>
          <t>2-WAY GLASSES STRAP</t>
        </is>
      </c>
      <c r="G1150" t="inlineStr">
        <is>
          <t>#14      #15      #18      #19      BK      NV</t>
        </is>
      </c>
      <c r="J1150" t="n">
        <v>280</v>
      </c>
      <c r="K1150" t="inlineStr">
        <is>
          <t>◎ 材質：熱塑性彈性體、聚酯纖維。尺寸：長39cm （含零件）。
◎ 兩用眼鏡帶，採用親膚的柔軟材質，未使用金屬零件。※部分眼鏡款式可能無法使用。</t>
        </is>
      </c>
    </row>
    <row r="1151">
      <c r="A1151" t="inlineStr"/>
      <c r="B1151" t="inlineStr"/>
      <c r="C1151" t="inlineStr">
        <is>
          <t>EYE WEAR</t>
        </is>
      </c>
      <c r="D1151">
        <f>U1151</f>
        <v/>
      </c>
      <c r="E1151" t="n">
        <v>1109248</v>
      </c>
      <c r="F1151" t="inlineStr">
        <is>
          <t>FLOATING 2-WAY DRY GLASSES STRAP</t>
        </is>
      </c>
      <c r="G1151" t="inlineStr">
        <is>
          <t>BL      OG</t>
        </is>
      </c>
      <c r="J1151" t="n">
        <v>650</v>
      </c>
      <c r="K1151" t="inlineStr">
        <is>
          <t>◎ 材質：NBR浮力裝置，綁帶/熱塑性彈性體。
◎ 尺寸：長43cm （含零件），浮力裝置尺寸：7.6 x 3 x 1cm。
◎ 一款附有浮力功能的眼鏡帶，即使不小心掉入水中，亦會浮起，方便撿拾。兩種安裝方式，並使用不吸水的快乾繩。※ 部分眼鏡款式，可能無法安裝。</t>
        </is>
      </c>
    </row>
    <row r="1152">
      <c r="A1152" t="inlineStr"/>
      <c r="B1152" t="inlineStr"/>
      <c r="C1152" t="inlineStr">
        <is>
          <t>EYE WEAR</t>
        </is>
      </c>
      <c r="D1152">
        <f>U1152</f>
        <v/>
      </c>
      <c r="E1152" t="n">
        <v>1109241</v>
      </c>
      <c r="F1152" t="inlineStr">
        <is>
          <t>FLOATING 2-WAY GLASSES STRAP</t>
        </is>
      </c>
      <c r="G1152" t="inlineStr">
        <is>
          <t>BL      OG</t>
        </is>
      </c>
      <c r="J1152" t="n">
        <v>480</v>
      </c>
      <c r="K1152" t="inlineStr">
        <is>
          <t>◎ 材質：NBR浮力裝置，綁帶/熱塑性彈性體。
◎ 尺寸：長43cm （含零件），浮力裝置尺寸：7.6 x 3 x 1cm。
◎ 一款附有浮力功能的眼鏡帶，即使不小心掉入水中，亦會浮起，方便撿拾。兩種安裝方式，並使用不吸水的快乾繩。※ 部分眼鏡款式，可能無法安裝。</t>
        </is>
      </c>
    </row>
    <row r="1153">
      <c r="A1153" t="inlineStr"/>
      <c r="B1153" t="inlineStr"/>
      <c r="C1153" t="inlineStr">
        <is>
          <t>EYE WEAR</t>
        </is>
      </c>
      <c r="D1153">
        <f>U1153</f>
        <v/>
      </c>
      <c r="E1153" t="n">
        <v>1109214</v>
      </c>
      <c r="F1153" t="inlineStr">
        <is>
          <t>GLASSES STRAP</t>
        </is>
      </c>
      <c r="G1153" t="inlineStr">
        <is>
          <t>#13      #17      #20      #21      BK      DKNV</t>
        </is>
      </c>
      <c r="H1153" t="inlineStr">
        <is>
          <t>#13      #20      #21</t>
        </is>
      </c>
      <c r="J1153" t="n">
        <v>260</v>
      </c>
      <c r="K1153" t="inlineStr">
        <is>
          <t>◎ 長度：35cm。
◎ 可固定在各種厚度鏡架上的眼鏡帶。</t>
        </is>
      </c>
    </row>
    <row r="1154">
      <c r="A1154" t="inlineStr"/>
      <c r="B1154" t="inlineStr"/>
      <c r="C1154" t="inlineStr">
        <is>
          <t>EYEWEAR</t>
        </is>
      </c>
      <c r="D1154">
        <f>U1154</f>
        <v/>
      </c>
      <c r="E1154" t="n">
        <v>1109280</v>
      </c>
      <c r="F1154" t="inlineStr">
        <is>
          <t>GLASSES BAND</t>
        </is>
      </c>
      <c r="G1154" t="inlineStr">
        <is>
          <t>#13      #18      #19      #22      #23</t>
        </is>
      </c>
      <c r="H1154" t="inlineStr">
        <is>
          <t>#13</t>
        </is>
      </c>
      <c r="I1154">
        <f>VLOOKUP(H1154,[1]尺寸簡表!$C$3:$D$1263,2,0)</f>
        <v/>
      </c>
      <c r="J1154" t="n">
        <v>440</v>
      </c>
      <c r="K1154" t="inlineStr">
        <is>
          <t>◎ 材質：熱塑性彈性體/聚酯纖維織繩。
◎ 材質柔軟，無金屬零件的眼鏡帶，配戴舒適穩固。</t>
        </is>
      </c>
    </row>
    <row r="1155">
      <c r="A1155" t="inlineStr"/>
      <c r="B1155" t="inlineStr"/>
      <c r="C1155" t="inlineStr">
        <is>
          <t>FIELD WEAR</t>
        </is>
      </c>
      <c r="D1155">
        <f>U1155</f>
        <v/>
      </c>
      <c r="E1155" t="n">
        <v>1132285</v>
      </c>
      <c r="F1155" t="inlineStr">
        <is>
          <t>FIELD TOOL POUCH L</t>
        </is>
      </c>
      <c r="G1155" t="inlineStr">
        <is>
          <t>KH      OG</t>
        </is>
      </c>
      <c r="H1155" t="inlineStr">
        <is>
          <t>KH</t>
        </is>
      </c>
      <c r="J1155" t="n">
        <v>1620</v>
      </c>
      <c r="K1155" t="inlineStr">
        <is>
          <t>◎ 420D抗撕裂尼龍(聚氨酯塗層)，多口袋工具袋。</t>
        </is>
      </c>
    </row>
    <row r="1156">
      <c r="A1156" t="inlineStr"/>
      <c r="B1156" t="inlineStr"/>
      <c r="C1156" t="inlineStr">
        <is>
          <t>FIELD WEAR</t>
        </is>
      </c>
      <c r="D1156">
        <f>U1156</f>
        <v/>
      </c>
      <c r="E1156" t="n">
        <v>1132284</v>
      </c>
      <c r="F1156" t="inlineStr">
        <is>
          <t>FIELD TOOL POUCH M</t>
        </is>
      </c>
      <c r="G1156" t="inlineStr">
        <is>
          <t>IV      KH      OG</t>
        </is>
      </c>
      <c r="H1156" t="inlineStr">
        <is>
          <t>OG</t>
        </is>
      </c>
      <c r="J1156" t="n">
        <v>1400</v>
      </c>
      <c r="K1156" t="inlineStr">
        <is>
          <t>◎ 420D抗撕裂尼龍(聚氨酯塗層)，多口袋工具袋。</t>
        </is>
      </c>
    </row>
    <row r="1157">
      <c r="A1157" t="inlineStr"/>
      <c r="B1157" t="inlineStr"/>
      <c r="C1157" t="inlineStr">
        <is>
          <t>FIELD WEAR</t>
        </is>
      </c>
      <c r="D1157">
        <f>U1157</f>
        <v/>
      </c>
      <c r="E1157" t="n">
        <v>1132283</v>
      </c>
      <c r="F1157" t="inlineStr">
        <is>
          <t>FIELD TOOL POUCH S</t>
        </is>
      </c>
      <c r="G1157" t="inlineStr">
        <is>
          <t>IV      KH      OG</t>
        </is>
      </c>
      <c r="H1157" t="inlineStr">
        <is>
          <t>IV</t>
        </is>
      </c>
      <c r="J1157" t="n">
        <v>1190</v>
      </c>
      <c r="K1157" t="inlineStr">
        <is>
          <t>◎ 420D抗撕裂尼龍(聚氨酯塗層)，多口袋工具袋。</t>
        </is>
      </c>
    </row>
    <row r="1158">
      <c r="A1158" t="inlineStr"/>
      <c r="B1158" t="inlineStr"/>
      <c r="C1158" t="inlineStr">
        <is>
          <t>FIELD WEAR</t>
        </is>
      </c>
      <c r="D1158">
        <f>U1158</f>
        <v/>
      </c>
      <c r="E1158" t="n">
        <v>1132321</v>
      </c>
      <c r="F1158" t="inlineStr">
        <is>
          <t>FIELD UMBRERO</t>
        </is>
      </c>
      <c r="G1158" t="inlineStr">
        <is>
          <t>SV</t>
        </is>
      </c>
      <c r="H1158" t="inlineStr">
        <is>
          <t>SV</t>
        </is>
      </c>
      <c r="J1158" t="n">
        <v>2580</v>
      </c>
      <c r="K1158" t="inlineStr">
        <is>
          <t>◎ 防曬係數UPF50+。天然草帽，透氣，可折疊，雙面遮陽，炎熱天氣下配戴清涼舒適。</t>
        </is>
      </c>
    </row>
    <row r="1159">
      <c r="A1159" t="inlineStr"/>
      <c r="B1159" t="inlineStr"/>
      <c r="C1159" t="inlineStr">
        <is>
          <t>FISHING</t>
        </is>
      </c>
      <c r="D1159">
        <f>U1159</f>
        <v/>
      </c>
      <c r="E1159" t="n">
        <v>1126200</v>
      </c>
      <c r="F1159" t="inlineStr">
        <is>
          <t>ATTACHABLE ANGLER POUCH</t>
        </is>
      </c>
      <c r="G1159" t="inlineStr">
        <is>
          <t>DKMA      GM</t>
        </is>
      </c>
      <c r="H1159" t="inlineStr">
        <is>
          <t>DKMA</t>
        </is>
      </c>
      <c r="J1159" t="n">
        <v>1150</v>
      </c>
      <c r="K1159" t="inlineStr">
        <is>
          <t>◎ 重量：120g。材質：100D Ballistic® 抗撕裂尼龍布(聚氨酯塗層)。
◎ 容量：0.9L（18×13×4cm）。
◎ 釣魚收納包，可收納飛蠅盒和路亞盒，可單獨使用或附掛於背包的肩帶上。</t>
        </is>
      </c>
    </row>
    <row r="1160">
      <c r="A1160" t="inlineStr"/>
      <c r="B1160" t="inlineStr"/>
      <c r="C1160" t="inlineStr">
        <is>
          <t>FISHING</t>
        </is>
      </c>
      <c r="D1160">
        <f>U1160</f>
        <v/>
      </c>
      <c r="E1160" t="n">
        <v>1126226</v>
      </c>
      <c r="F1160" t="inlineStr">
        <is>
          <t>TACKLE POUCH M</t>
        </is>
      </c>
      <c r="G1160" t="inlineStr">
        <is>
          <t>BRC      DGY</t>
        </is>
      </c>
      <c r="H1160" t="inlineStr">
        <is>
          <t>DGY</t>
        </is>
      </c>
      <c r="J1160" t="n">
        <v>1520</v>
      </c>
      <c r="K1160" t="inlineStr">
        <is>
          <t>◎ 重量：271g。
◎ 材質：100D Ballistic®抗撕裂表布（聚氨酯塗層）。
◎ 改款重點：內部增加防撞泡棉。</t>
        </is>
      </c>
    </row>
    <row r="1161">
      <c r="A1161" t="inlineStr"/>
      <c r="B1161" t="inlineStr"/>
      <c r="C1161" t="inlineStr">
        <is>
          <t>FISHING</t>
        </is>
      </c>
      <c r="D1161">
        <f>U1161</f>
        <v/>
      </c>
      <c r="E1161" t="n">
        <v>1126225</v>
      </c>
      <c r="F1161" t="inlineStr">
        <is>
          <t>TACKLE POUCH S</t>
        </is>
      </c>
      <c r="G1161" t="inlineStr">
        <is>
          <t>BRC      DGY</t>
        </is>
      </c>
      <c r="H1161" t="inlineStr">
        <is>
          <t>BRC</t>
        </is>
      </c>
      <c r="J1161" t="n">
        <v>1430</v>
      </c>
      <c r="K1161" t="inlineStr">
        <is>
          <t>◎ 重量：239g。
◎ 材質：100D Ballistic®抗撕裂表布（聚氨酯塗層）。
◎ 改款重點：內部增加防撞泡棉。</t>
        </is>
      </c>
    </row>
    <row r="1162">
      <c r="A1162" t="inlineStr"/>
      <c r="B1162" t="inlineStr"/>
      <c r="C1162" t="inlineStr">
        <is>
          <t>FOOTWEAR</t>
        </is>
      </c>
      <c r="D1162">
        <f>U1162</f>
        <v/>
      </c>
      <c r="E1162" t="n">
        <v>1129714</v>
      </c>
      <c r="F1162" t="inlineStr">
        <is>
          <t>LOCK-ON SANDALS</t>
        </is>
      </c>
      <c r="G1162" t="inlineStr">
        <is>
          <t>BK      BN      DBN      GN      IV      NV      YL</t>
        </is>
      </c>
      <c r="H1162" t="inlineStr">
        <is>
          <t>BK      BN</t>
        </is>
      </c>
      <c r="I1162">
        <f>VLOOKUP(H1162,[1]尺寸簡表!$C$3:$D$1263,2,0)</f>
        <v/>
      </c>
      <c r="J1162" t="n">
        <v>1400</v>
      </c>
      <c r="K1162" t="inlineStr">
        <is>
          <t>◎ 尺寸：XS（22.0-23.0cm）、S（23.5-24.5cm）、M（25.0-26.0cm）、L（26.5-27.5cm）、XL（28-29cm )、XXL（29.5-31cm）。
◎ 本體：發泡EVA、大底：橡膠；特殊S型結構織繩服貼於足背，腳後跟魔鬼氈扣帶設計。</t>
        </is>
      </c>
    </row>
    <row r="1163">
      <c r="A1163" t="inlineStr"/>
      <c r="B1163" t="inlineStr"/>
      <c r="C1163" t="inlineStr">
        <is>
          <t>FOOTWEAR</t>
        </is>
      </c>
      <c r="D1163">
        <f>U1163</f>
        <v/>
      </c>
      <c r="E1163" t="n">
        <v>1129715</v>
      </c>
      <c r="F1163" t="inlineStr">
        <is>
          <t>SOCK-ON SANDALS</t>
        </is>
      </c>
      <c r="G1163" t="inlineStr">
        <is>
          <t>BGN      BK      GY      LBL      OG      TN</t>
        </is>
      </c>
      <c r="H1163" t="inlineStr">
        <is>
          <t>BK      TN</t>
        </is>
      </c>
      <c r="I1163">
        <f>VLOOKUP(H1163,[1]尺寸簡表!$C$3:$D$1263,2,0)</f>
        <v/>
      </c>
      <c r="J1163" t="n">
        <v>1180</v>
      </c>
      <c r="K1163" t="inlineStr">
        <is>
          <t>◎ 尺寸：XS（22.0-23.0cm）、S（23.5-24.5cm）、M（25.0-26.0cm）、L（26.5-27.5cm）、XL（28-29cm )、XXL（29.5-31cm）。
◎ 本體：發泡EVA，大底：橡膠； 特殊S型結構織繩服貼於足背。</t>
        </is>
      </c>
    </row>
    <row r="1164">
      <c r="A1164" t="inlineStr"/>
      <c r="B1164" t="inlineStr"/>
      <c r="C1164" t="inlineStr">
        <is>
          <t>GAITER</t>
        </is>
      </c>
      <c r="D1164">
        <f>U1164</f>
        <v/>
      </c>
      <c r="E1164" t="n">
        <v>1129782</v>
      </c>
      <c r="F1164" t="inlineStr">
        <is>
          <t>DRY-TEC ALPINE GAITERS</t>
        </is>
      </c>
      <c r="G1164" t="inlineStr">
        <is>
          <t>BK      GY      RD</t>
        </is>
      </c>
      <c r="H1164" t="inlineStr">
        <is>
          <t>BK</t>
        </is>
      </c>
      <c r="I1164">
        <f>VLOOKUP(H1164,[1]尺寸簡表!$C$3:$D$1263,2,0)</f>
        <v/>
      </c>
      <c r="J1164" t="n">
        <v>1980</v>
      </c>
      <c r="K1164" t="inlineStr">
        <is>
          <t>◎ 重量：275g。主體：50D尼龍防撕裂表布，DRYTEC®3L（耐水壓20,000mm，透氣度15,000g/m²）、下緣：840D尼龍防撕裂表布。
◎ 高防護的防水長綁腿，利用雙頭拉鍊穿脫。</t>
        </is>
      </c>
    </row>
    <row r="1165">
      <c r="A1165" t="inlineStr"/>
      <c r="B1165" t="inlineStr"/>
      <c r="C1165" t="inlineStr">
        <is>
          <t>GAITER</t>
        </is>
      </c>
      <c r="D1165">
        <f>U1165</f>
        <v/>
      </c>
      <c r="E1165" t="n">
        <v>1129783</v>
      </c>
      <c r="F1165" t="inlineStr">
        <is>
          <t>DRY-TEC EASY-FIT GAITERS</t>
        </is>
      </c>
      <c r="G1165" t="inlineStr">
        <is>
          <t>BK      GY      RD</t>
        </is>
      </c>
      <c r="I1165">
        <f>VLOOKUP(H1165,[1]尺寸簡表!$C$3:$D$1263,2,0)</f>
        <v/>
      </c>
      <c r="J1165" t="n">
        <v>1800</v>
      </c>
      <c r="K1165" t="inlineStr">
        <is>
          <t>◎ 重量：215g。主體：50D尼龍防撕裂表布，DRYTEC®3L（耐水壓20,000mm，透氣度15,000g/m²）、下緣：420D尼龍防撕裂表布。
◎ 以魔鬼氈開闔的防水長綁腿，穿脫簡易。</t>
        </is>
      </c>
    </row>
    <row r="1166">
      <c r="A1166" t="inlineStr"/>
      <c r="B1166" t="inlineStr"/>
      <c r="C1166" t="inlineStr">
        <is>
          <t>GAITER</t>
        </is>
      </c>
      <c r="D1166">
        <f>U1166</f>
        <v/>
      </c>
      <c r="E1166" t="n">
        <v>1129785</v>
      </c>
      <c r="F1166" t="inlineStr">
        <is>
          <t>DRY-TEC LIGHT GAITERS</t>
        </is>
      </c>
      <c r="G1166" t="inlineStr">
        <is>
          <t>BK      GY      NV      RD</t>
        </is>
      </c>
      <c r="H1166" t="inlineStr">
        <is>
          <t>GY</t>
        </is>
      </c>
      <c r="I1166">
        <f>VLOOKUP(H1166,[1]尺寸簡表!$C$3:$D$1263,2,0)</f>
        <v/>
      </c>
      <c r="J1166" t="n">
        <v>1370</v>
      </c>
      <c r="K1166" t="inlineStr">
        <is>
          <t>◎ 重量：98g。主體：50D尼龍防撕裂表布，DRYTEC®3L（耐水壓20,000mm，透氣度15,000g/m²）、下緣為420D尼龍防撕裂表布。
◎ 極輕量易穿脫的防水短綁腿。</t>
        </is>
      </c>
    </row>
    <row r="1167">
      <c r="A1167" t="inlineStr"/>
      <c r="B1167" t="inlineStr"/>
      <c r="C1167" t="inlineStr">
        <is>
          <t>GAITER</t>
        </is>
      </c>
      <c r="D1167">
        <f>U1167</f>
        <v/>
      </c>
      <c r="E1167" t="n">
        <v>1129784</v>
      </c>
      <c r="F1167" t="inlineStr">
        <is>
          <t>DRY-TEC LIGHT LONG GAITERS</t>
        </is>
      </c>
      <c r="G1167" t="inlineStr">
        <is>
          <t>BK      GY      NV      RD</t>
        </is>
      </c>
      <c r="H1167" t="inlineStr">
        <is>
          <t>NV</t>
        </is>
      </c>
      <c r="I1167">
        <f>VLOOKUP(H1167,[1]尺寸簡表!$C$3:$D$1263,2,0)</f>
        <v/>
      </c>
      <c r="J1167" t="n">
        <v>1680</v>
      </c>
      <c r="K1167" t="inlineStr">
        <is>
          <t>◎ 重量：145g。主體：50D尼龍防撕裂表布，DRYTEC®3L（耐水壓20,000mm，透氣度15,000g/m²）、下緣：210D尼龍防撕裂表布。
◎ 極輕量易穿脫的防水長綁腿。</t>
        </is>
      </c>
    </row>
    <row r="1168">
      <c r="A1168" t="inlineStr"/>
      <c r="B1168" t="inlineStr"/>
      <c r="C1168" t="inlineStr">
        <is>
          <t>GAITER</t>
        </is>
      </c>
      <c r="D1168">
        <f>U1168</f>
        <v/>
      </c>
      <c r="E1168" t="n">
        <v>1129832</v>
      </c>
      <c r="F1168" t="inlineStr">
        <is>
          <t>SNAKE GUARD GAITER</t>
        </is>
      </c>
      <c r="G1168" t="inlineStr">
        <is>
          <t>NV</t>
        </is>
      </c>
      <c r="H1168" t="inlineStr">
        <is>
          <t>NV</t>
        </is>
      </c>
      <c r="J1168" t="n">
        <v>4300</v>
      </c>
      <c r="K1168" t="inlineStr">
        <is>
          <t>◎ 材質：麂皮皮革（厚度 2.7mm）
、DURA STRAP 結構
◎ 專門設計用於防蛇與防護腿部，厚實麂皮材質提供強化的抵禦能力，與皮革登山鞋搭配能提升整體保護效果。</t>
        </is>
      </c>
    </row>
    <row r="1169">
      <c r="A1169" t="inlineStr"/>
      <c r="B1169" t="inlineStr"/>
      <c r="C1169" t="inlineStr">
        <is>
          <t>GAITER</t>
        </is>
      </c>
      <c r="D1169">
        <f>U1169</f>
        <v/>
      </c>
      <c r="E1169" t="n">
        <v>1129814</v>
      </c>
      <c r="F1169" t="inlineStr">
        <is>
          <t>STRETCH DRY-TEC LONG GAITERS</t>
        </is>
      </c>
      <c r="G1169" t="inlineStr">
        <is>
          <t>BK</t>
        </is>
      </c>
      <c r="H1169" t="inlineStr">
        <is>
          <t>BK</t>
        </is>
      </c>
      <c r="I1169">
        <f>VLOOKUP(H1169,[1]尺寸簡表!$C$3:$D$1263,2,0)</f>
        <v/>
      </c>
      <c r="J1169" t="n">
        <v>2220</v>
      </c>
      <c r="K1169" t="inlineStr">
        <is>
          <t>◎ 材質：50D 尼龍表布，DRYTEC 2L(無 PFAS DWR）、420D 尼龍邊緣防護（聚氨酯塗層）、重量：160g。
◎ 前開設計搭載防水 Aqua-Tect 拉鍊，貼合性佳，附防滑帶與收納袋。</t>
        </is>
      </c>
    </row>
    <row r="1170">
      <c r="A1170" t="inlineStr"/>
      <c r="B1170" t="inlineStr"/>
      <c r="C1170" t="inlineStr">
        <is>
          <t>KIDS &amp; BABY</t>
        </is>
      </c>
      <c r="D1170">
        <f>U1170</f>
        <v/>
      </c>
      <c r="E1170" t="n">
        <v>1121469</v>
      </c>
      <c r="F1170" t="inlineStr">
        <is>
          <t>BURROW SUIT MONTA BEAR KID'S 150</t>
        </is>
      </c>
      <c r="G1170" t="inlineStr">
        <is>
          <t>BK</t>
        </is>
      </c>
      <c r="J1170" t="n">
        <v>5400</v>
      </c>
      <c r="K1170" t="inlineStr">
        <is>
          <t>◎ 收納：Φ18x36cm（8.1L）、適用身高：135～155cm、重量：922g。舒適溫度5度～。
◎ 30D聚酯纖維（撥水加工）、填充：EXCELOFT®保暖纖維。無縫線、無隔間減少冷點及減輕重量。</t>
        </is>
      </c>
    </row>
    <row r="1171">
      <c r="A1171" t="inlineStr"/>
      <c r="B1171" t="inlineStr"/>
      <c r="C1171" t="inlineStr">
        <is>
          <t>KIDS &amp; BABY</t>
        </is>
      </c>
      <c r="D1171">
        <f>U1171</f>
        <v/>
      </c>
      <c r="E1171" t="n">
        <v>1133341</v>
      </c>
      <c r="F1171" t="inlineStr">
        <is>
          <t>FIELD PACK KID'S 12</t>
        </is>
      </c>
      <c r="G1171" t="inlineStr">
        <is>
          <t>AURD      PE      PHLOX      PRBL</t>
        </is>
      </c>
      <c r="J1171" t="n">
        <v>1800</v>
      </c>
      <c r="K1171" t="inlineStr">
        <is>
          <t>◎ 12L（高38×寬23×深14cm）、背長：38cm、重量：232g。
◎ 材質：210D尼龍防撕裂布（聚氨酯塗層）。</t>
        </is>
      </c>
    </row>
    <row r="1172">
      <c r="A1172" t="inlineStr"/>
      <c r="B1172" t="inlineStr"/>
      <c r="C1172" t="inlineStr">
        <is>
          <t>KIDS &amp; BABY</t>
        </is>
      </c>
      <c r="D1172">
        <f>U1172</f>
        <v/>
      </c>
      <c r="E1172" t="n">
        <v>1133342</v>
      </c>
      <c r="F1172" t="inlineStr">
        <is>
          <t>FIELD PACK KID'S 15</t>
        </is>
      </c>
      <c r="G1172" t="inlineStr">
        <is>
          <t>BKNV      FEWO      PANSY      PE</t>
        </is>
      </c>
      <c r="J1172" t="n">
        <v>2100</v>
      </c>
      <c r="K1172" t="inlineStr">
        <is>
          <t>◎ 15L（高40×寬26×深16cm）、背長：40cm、重量：291g。
◎ 材質：210D尼龍防撕裂布（聚氨酯塗層）。</t>
        </is>
      </c>
    </row>
    <row r="1173">
      <c r="A1173" t="inlineStr"/>
      <c r="B1173" t="inlineStr"/>
      <c r="C1173" t="inlineStr">
        <is>
          <t>KIDS &amp; BABY</t>
        </is>
      </c>
      <c r="D1173">
        <f>U1173</f>
        <v/>
      </c>
      <c r="E1173" t="n">
        <v>1133343</v>
      </c>
      <c r="F1173" t="inlineStr">
        <is>
          <t>FIELD PACK KID'S 18</t>
        </is>
      </c>
      <c r="G1173" t="inlineStr">
        <is>
          <t>BK      BKNV      FEWO      PE</t>
        </is>
      </c>
      <c r="J1173" t="n">
        <v>2100</v>
      </c>
      <c r="K1173" t="inlineStr">
        <is>
          <t>◎ 18L（高42×寬27×深17cm）、背長：42cm、重量：305g。
◎ 材質：210D尼龍防撕裂布（聚氨酯塗層）。</t>
        </is>
      </c>
    </row>
    <row r="1174">
      <c r="A1174" t="inlineStr"/>
      <c r="B1174" t="inlineStr"/>
      <c r="C1174" t="inlineStr">
        <is>
          <t>KIDS &amp; BABY</t>
        </is>
      </c>
      <c r="D1174">
        <f>U1174</f>
        <v/>
      </c>
      <c r="E1174" t="n">
        <v>1133339</v>
      </c>
      <c r="F1174" t="inlineStr">
        <is>
          <t>FIELD PACK KID'S 6</t>
        </is>
      </c>
      <c r="G1174" t="inlineStr">
        <is>
          <t>FEWO      MAVE      PE</t>
        </is>
      </c>
      <c r="J1174" t="n">
        <v>1440</v>
      </c>
      <c r="K1174" t="inlineStr">
        <is>
          <t>◎ 6L（高32×寬19×深12cm）、背長：32cm、重量：184g。
◎ 材質：210D尼龍防撕裂布（聚氨酯塗層）。</t>
        </is>
      </c>
    </row>
    <row r="1175">
      <c r="A1175" t="inlineStr"/>
      <c r="B1175" t="inlineStr"/>
      <c r="C1175" t="inlineStr">
        <is>
          <t>KIDS &amp; BABY</t>
        </is>
      </c>
      <c r="D1175">
        <f>U1175</f>
        <v/>
      </c>
      <c r="E1175" t="n">
        <v>1133340</v>
      </c>
      <c r="F1175" t="inlineStr">
        <is>
          <t>FIELD PACK KID'S 8</t>
        </is>
      </c>
      <c r="G1175" t="inlineStr">
        <is>
          <t>AURD      CBL      MAVE</t>
        </is>
      </c>
      <c r="H1175" t="inlineStr">
        <is>
          <t>AURD      CBL</t>
        </is>
      </c>
      <c r="J1175" t="n">
        <v>1700</v>
      </c>
      <c r="K1175" t="inlineStr">
        <is>
          <t>◎ 材質：210D抗撕裂雙層尼龍布（聚氨酯塗層）。
◎ 背長：35cm、容量：8L（35×21×12cm）。
◎ 快拆/可調式胸帶、反光織帶、附名牌。</t>
        </is>
      </c>
    </row>
    <row r="1176">
      <c r="A1176" t="inlineStr"/>
      <c r="B1176" t="inlineStr"/>
      <c r="C1176" t="inlineStr">
        <is>
          <t>KIDS &amp; BABY</t>
        </is>
      </c>
      <c r="D1176">
        <f>U1176</f>
        <v/>
      </c>
      <c r="E1176" t="n">
        <v>1133548</v>
      </c>
      <c r="F1176" t="inlineStr">
        <is>
          <t>GECKO PACK KID'S 12-15</t>
        </is>
      </c>
      <c r="G1176" t="inlineStr">
        <is>
          <t>LV      NV      YL</t>
        </is>
      </c>
      <c r="H1176" t="inlineStr">
        <is>
          <t>NV</t>
        </is>
      </c>
      <c r="J1176" t="n">
        <v>2590</v>
      </c>
      <c r="K1176" t="inlineStr">
        <is>
          <t>◎ 重量：512g。
◎ 材質：330D尼龍防撕裂布（聚氨酯塗層）。</t>
        </is>
      </c>
    </row>
    <row r="1177">
      <c r="A1177" t="inlineStr"/>
      <c r="B1177" t="inlineStr"/>
      <c r="C1177" t="inlineStr">
        <is>
          <t>KIDS &amp; BABY</t>
        </is>
      </c>
      <c r="D1177">
        <f>U1177</f>
        <v/>
      </c>
      <c r="E1177" t="n">
        <v>1133549</v>
      </c>
      <c r="F1177" t="inlineStr">
        <is>
          <t>GECKO PACK KID'S 15-18</t>
        </is>
      </c>
      <c r="G1177" t="inlineStr">
        <is>
          <t>BK      LV      NV</t>
        </is>
      </c>
      <c r="H1177" t="inlineStr">
        <is>
          <t>LV</t>
        </is>
      </c>
      <c r="J1177" t="n">
        <v>2750</v>
      </c>
      <c r="K1177" t="inlineStr">
        <is>
          <t>◎ 重量：552g。
◎ 材質：330D尼龍防撕裂布（聚氨酯塗層）。</t>
        </is>
      </c>
    </row>
    <row r="1178">
      <c r="A1178" t="inlineStr"/>
      <c r="B1178" t="inlineStr"/>
      <c r="C1178" t="inlineStr">
        <is>
          <t>KIDS &amp; BABY</t>
        </is>
      </c>
      <c r="D1178">
        <f>U1178</f>
        <v/>
      </c>
      <c r="E1178" t="n">
        <v>1129513</v>
      </c>
      <c r="F1178" t="inlineStr">
        <is>
          <t>LOCK-ON SANDALS KID'S</t>
        </is>
      </c>
      <c r="G1178" t="inlineStr">
        <is>
          <t>DM/YL      MS/OR      PB/BL</t>
        </is>
      </c>
      <c r="H1178" t="inlineStr">
        <is>
          <t>PB/BL      MS/OR</t>
        </is>
      </c>
      <c r="I1178">
        <f>VLOOKUP(H1178,[1]尺寸簡表!$C$3:$D$1263,2,0)</f>
        <v/>
      </c>
      <c r="J1178" t="n">
        <v>1200</v>
      </c>
      <c r="K1178" t="inlineStr">
        <is>
          <t>◎ 尺寸：XS（16～17cm）、S（17.5～18.5cm）、M（19～20cm）、L（20.5～21.5cm）。
◎ 本體：發泡EVA、大底：橡膠；穿著舒適並具有優異的抓地力與耐久性，特殊S型結構織繩服貼於足背，增加腳後跟魔鬼氈扣帶設計。</t>
        </is>
      </c>
    </row>
    <row r="1179">
      <c r="A1179" t="inlineStr"/>
      <c r="B1179" t="inlineStr"/>
      <c r="C1179" t="inlineStr">
        <is>
          <t>KIDS &amp; BABY</t>
        </is>
      </c>
      <c r="D1179">
        <f>U1179</f>
        <v/>
      </c>
      <c r="E1179" t="n">
        <v>1133510</v>
      </c>
      <c r="F1179" t="inlineStr">
        <is>
          <t>MONTA BEAR BACKPACK</t>
        </is>
      </c>
      <c r="H1179" t="inlineStr">
        <is>
          <t>現場樣品</t>
        </is>
      </c>
      <c r="J1179" t="n">
        <v>1850</v>
      </c>
      <c r="K1179" t="inlineStr">
        <is>
          <t>◎ 尺寸：46cm。
◎ 柔軟可愛的蒙塔熊背包，前拉鍊可打開放水瓶或零食。</t>
        </is>
      </c>
    </row>
    <row r="1180">
      <c r="A1180" t="inlineStr"/>
      <c r="B1180" t="inlineStr"/>
      <c r="C1180" t="inlineStr">
        <is>
          <t>KIDS &amp; BABY</t>
        </is>
      </c>
      <c r="D1180">
        <f>U1180</f>
        <v/>
      </c>
      <c r="E1180" t="n">
        <v>1133487</v>
      </c>
      <c r="F1180" t="inlineStr">
        <is>
          <t>MONTA BEAR PACK KID'S 6</t>
        </is>
      </c>
      <c r="G1180" t="inlineStr">
        <is>
          <t>BK      WT</t>
        </is>
      </c>
      <c r="H1180" t="inlineStr">
        <is>
          <t>BK</t>
        </is>
      </c>
      <c r="J1180" t="n">
        <v>1620</v>
      </c>
      <c r="K1180" t="inlineStr">
        <is>
          <t>◎ CLIMAAIR®觸感柔順的長刷毛，不含PFAS。</t>
        </is>
      </c>
    </row>
    <row r="1181">
      <c r="A1181" t="inlineStr"/>
      <c r="B1181" t="inlineStr"/>
      <c r="C1181" t="inlineStr">
        <is>
          <t>KIDS &amp; BABY</t>
        </is>
      </c>
      <c r="D1181">
        <f>U1181</f>
        <v/>
      </c>
      <c r="E1181" t="n">
        <v>1133309</v>
      </c>
      <c r="F1181" t="inlineStr">
        <is>
          <t>TWIN POCKET PACK 10</t>
        </is>
      </c>
      <c r="G1181" t="inlineStr">
        <is>
          <t>LV      ORBL</t>
        </is>
      </c>
      <c r="J1181" t="n">
        <v>2100</v>
      </c>
      <c r="K1181" t="inlineStr">
        <is>
          <t>◎ 10L（高34×寬27×深12cm）、背長：34cm、重量：330g。
◎ 材質：210D Ballistic®抗撕裂尼龍表布（聚氨酯加工）。</t>
        </is>
      </c>
    </row>
    <row r="1182">
      <c r="A1182" t="inlineStr"/>
      <c r="B1182" t="inlineStr"/>
      <c r="C1182" t="inlineStr">
        <is>
          <t>KIDS &amp; BABY</t>
        </is>
      </c>
      <c r="D1182">
        <f>U1182</f>
        <v/>
      </c>
      <c r="E1182" t="n">
        <v>1133310</v>
      </c>
      <c r="F1182" t="inlineStr">
        <is>
          <t>TWIN POCKET PACK 20</t>
        </is>
      </c>
      <c r="G1182" t="inlineStr">
        <is>
          <t>LV      ORBL      YGN</t>
        </is>
      </c>
      <c r="J1182" t="n">
        <v>2340</v>
      </c>
      <c r="K1182" t="inlineStr">
        <is>
          <t>◎ 20L（高38×寬30×深15cm）、背長：38cm、重量：373g。
◎ 材質：210D Ballistic®抗撕裂尼龍表布（聚氨酯加工）。</t>
        </is>
      </c>
    </row>
    <row r="1183">
      <c r="A1183" t="inlineStr"/>
      <c r="B1183" t="inlineStr"/>
      <c r="C1183" t="inlineStr">
        <is>
          <t>LIGHTING</t>
        </is>
      </c>
      <c r="D1183">
        <f>U1183</f>
        <v/>
      </c>
      <c r="E1183" t="n">
        <v>1124658</v>
      </c>
      <c r="F1183" t="inlineStr">
        <is>
          <t>CRUSHABLE LANTERN SHADE</t>
        </is>
      </c>
      <c r="G1183" t="inlineStr">
        <is>
          <t>WT</t>
        </is>
      </c>
      <c r="H1183" t="inlineStr">
        <is>
          <t>WT</t>
        </is>
      </c>
      <c r="J1183" t="n">
        <v>460</v>
      </c>
      <c r="K1183" t="inlineStr">
        <is>
          <t>◎重量：7g、展開尺寸：Φ6×12cm，對應頭燈：圓周19.5cm以内。
◎30D抗撕裂尼龍布。可與頭燈結合變營燈，光線柔和，體積輕小，收納容易。</t>
        </is>
      </c>
    </row>
    <row r="1184">
      <c r="A1184" t="inlineStr"/>
      <c r="B1184" t="inlineStr"/>
      <c r="C1184" t="inlineStr">
        <is>
          <t>LIGHTING</t>
        </is>
      </c>
      <c r="D1184">
        <f>U1184</f>
        <v/>
      </c>
      <c r="E1184" t="n">
        <v>1124622</v>
      </c>
      <c r="F1184" t="inlineStr">
        <is>
          <t>CRUSHABLE LANTERN SHADE L</t>
        </is>
      </c>
      <c r="G1184" t="inlineStr">
        <is>
          <t>WT</t>
        </is>
      </c>
      <c r="H1184" t="inlineStr">
        <is>
          <t>WT</t>
        </is>
      </c>
      <c r="J1184" t="n">
        <v>510</v>
      </c>
      <c r="K1184" t="inlineStr">
        <is>
          <t>◎重量：8g、展開尺寸：Φ10×16.5cm，對應頭燈：圓周18.5cm以内。
◎30D抗撕裂尼龍布。可與頭燈結合變營燈，光線柔和，體積輕小，收納容易。</t>
        </is>
      </c>
    </row>
    <row r="1185">
      <c r="A1185" t="inlineStr"/>
      <c r="B1185" t="inlineStr"/>
      <c r="C1185" t="inlineStr">
        <is>
          <t>LIGHTING</t>
        </is>
      </c>
      <c r="D1185">
        <f>U1185</f>
        <v/>
      </c>
      <c r="E1185" t="n">
        <v>1134341</v>
      </c>
      <c r="F1185" t="inlineStr">
        <is>
          <t>RECHARGEABLE COMPACT MULTIUSE LAMP</t>
        </is>
      </c>
      <c r="G1185" t="inlineStr">
        <is>
          <t>BK      BL      IV      YL</t>
        </is>
      </c>
      <c r="H1185" t="inlineStr">
        <is>
          <t>BK</t>
        </is>
      </c>
      <c r="J1185" t="n">
        <v>620</v>
      </c>
      <c r="K1185" t="inlineStr">
        <is>
          <t>◎ 重量：27g。防水度IPX4，亮度35流明。輕量可充電頭燈(USB TYPE C)。
◎ 照明時間：35流明（8小時)、10流明（20小時）。</t>
        </is>
      </c>
    </row>
    <row r="1186">
      <c r="A1186" t="inlineStr"/>
      <c r="B1186" t="inlineStr"/>
      <c r="C1186" t="inlineStr">
        <is>
          <t>LIGHTING</t>
        </is>
      </c>
      <c r="D1186">
        <f>U1186</f>
        <v/>
      </c>
      <c r="E1186" t="n">
        <v>1134249</v>
      </c>
      <c r="F1186" t="inlineStr">
        <is>
          <t>RECHARGEABLE MINI LAMP</t>
        </is>
      </c>
      <c r="G1186" t="inlineStr">
        <is>
          <t>BK      BL      OG</t>
        </is>
      </c>
      <c r="J1186" t="n">
        <v>1080</v>
      </c>
      <c r="K1186" t="inlineStr">
        <is>
          <t>◎ 重量：55g。防水：IPX5，尺寸：5.5x6.6x2.5cm。主機充電時間：2小時。內建電池：3.7V鋰離子電池 / 1200mAh(USB Type-C)。亮度：LOW（40流明 / 15小時）、MID（150流明 / 5小時）、HIGH（300流明 / 3小時），燈光：白光、暖白光、紅光閃爍。</t>
        </is>
      </c>
    </row>
    <row r="1187">
      <c r="A1187" t="inlineStr"/>
      <c r="B1187" t="inlineStr"/>
      <c r="C1187" t="inlineStr">
        <is>
          <t>PADDLE SPORTS</t>
        </is>
      </c>
      <c r="D1187">
        <f>U1187</f>
        <v/>
      </c>
      <c r="E1187" t="n">
        <v>1127163</v>
      </c>
      <c r="F1187" t="inlineStr">
        <is>
          <t>RATION CONTAINER</t>
        </is>
      </c>
      <c r="J1187" t="n">
        <v>1400</v>
      </c>
      <c r="K1187" t="inlineStr">
        <is>
          <t xml:space="preserve">◎ 重量：220g，尺寸：Φ12 x 24cm，容量：2L。廣口設計，堅固不易破裂。本容器為收納罐非飲水瓶，請勿裝入飲用水。存放食品時，請連原包裝一起放入。 </t>
        </is>
      </c>
    </row>
    <row r="1188">
      <c r="A1188" t="inlineStr">
        <is>
          <t>27SS</t>
        </is>
      </c>
      <c r="B1188" t="inlineStr">
        <is>
          <t>27SS</t>
        </is>
      </c>
      <c r="C1188" t="inlineStr">
        <is>
          <t>POLES</t>
        </is>
      </c>
      <c r="D1188">
        <f>U1188</f>
        <v/>
      </c>
      <c r="E1188" t="n">
        <v>1140287</v>
      </c>
      <c r="F1188" t="inlineStr">
        <is>
          <t>2-WAY CAM LOCK</t>
        </is>
      </c>
      <c r="G1188" t="inlineStr">
        <is>
          <t>NV      YGN</t>
        </is>
      </c>
      <c r="H1188" t="inlineStr">
        <is>
          <t>YGN</t>
        </is>
      </c>
      <c r="J1188" t="n">
        <v>1770</v>
      </c>
      <c r="K1188" t="inlineStr">
        <is>
          <t>◎ 重量：297g，長度：80-120cm。材質：鋁合金。結合 I 型與 T 型握把的混合型登山杖，可自由切換，適合攀登與下坡使用。上節與下節皆採用快扣（Lever lock）調節設計。</t>
        </is>
      </c>
    </row>
    <row r="1189">
      <c r="A1189" t="inlineStr">
        <is>
          <t>27SS</t>
        </is>
      </c>
      <c r="B1189" t="inlineStr">
        <is>
          <t>27SS</t>
        </is>
      </c>
      <c r="C1189" t="inlineStr">
        <is>
          <t>POLES</t>
        </is>
      </c>
      <c r="D1189">
        <f>U1189</f>
        <v/>
      </c>
      <c r="E1189" t="n">
        <v>1140289</v>
      </c>
      <c r="F1189" t="inlineStr">
        <is>
          <t>2-WAY GRIP CARBON POLE</t>
        </is>
      </c>
      <c r="G1189" t="inlineStr">
        <is>
          <t>CARB      DTL</t>
        </is>
      </c>
      <c r="H1189" t="inlineStr">
        <is>
          <t>DTL</t>
        </is>
      </c>
      <c r="J1189" t="n">
        <v>2460</v>
      </c>
      <c r="K1189" t="inlineStr">
        <is>
          <t>◎ 重量：272g，長度：80-120cm。材質：碳纖維強化塑膠、鋁合金。輕量的混合型握把登山杖，具備極佳的擺動平衡，採用硬鋁與混合材質杖身。上節與下節皆採用快扣（Lever lock）調節設計。</t>
        </is>
      </c>
    </row>
    <row r="1190">
      <c r="A1190" t="inlineStr"/>
      <c r="B1190" t="inlineStr"/>
      <c r="C1190" t="inlineStr">
        <is>
          <t>POLES</t>
        </is>
      </c>
      <c r="D1190">
        <f>U1190</f>
        <v/>
      </c>
      <c r="E1190" t="n">
        <v>1140264</v>
      </c>
      <c r="F1190" t="inlineStr">
        <is>
          <t>ALPINE CARBON PHOTO POLE</t>
        </is>
      </c>
      <c r="G1190" t="inlineStr">
        <is>
          <t>CARB</t>
        </is>
      </c>
      <c r="J1190" t="n">
        <v>3700</v>
      </c>
      <c r="K1190" t="inlineStr">
        <is>
          <t>◎ 適用長度：95~145cm、收納長度：66cm、總重：209g。
◎ 材質：碳纖維強化塑料、鋁合金，EVA小巧I字握把方便手小者使用，彈簧避震。
◎ 取下握把頂部可結合相機變成相機腳架。</t>
        </is>
      </c>
    </row>
    <row r="1191">
      <c r="A1191" t="inlineStr"/>
      <c r="B1191" t="inlineStr"/>
      <c r="C1191" t="inlineStr">
        <is>
          <t>POLES</t>
        </is>
      </c>
      <c r="D1191">
        <f>U1191</f>
        <v/>
      </c>
      <c r="E1191" t="n">
        <v>1140189</v>
      </c>
      <c r="F1191" t="inlineStr">
        <is>
          <t>ALPINE CARBON POLE</t>
        </is>
      </c>
      <c r="G1191" t="inlineStr">
        <is>
          <t>CARB</t>
        </is>
      </c>
      <c r="J1191" t="n">
        <v>3310</v>
      </c>
      <c r="K1191" t="inlineStr">
        <is>
          <t>◎ 長度：105~130cm、收納長度：59cm、重量：177g。
◎ 材質：碳纖維強化塑料、鋁合金，I字形EVA握把。</t>
        </is>
      </c>
    </row>
    <row r="1192">
      <c r="A1192" t="inlineStr"/>
      <c r="B1192" t="inlineStr"/>
      <c r="C1192" t="inlineStr">
        <is>
          <t>POLES</t>
        </is>
      </c>
      <c r="D1192">
        <f>U1192</f>
        <v/>
      </c>
      <c r="E1192" t="n">
        <v>1140191</v>
      </c>
      <c r="F1192" t="inlineStr">
        <is>
          <t>ALPINE CARBON POLE ANTI SHOCK</t>
        </is>
      </c>
      <c r="G1192" t="inlineStr">
        <is>
          <t>GM      TWBL</t>
        </is>
      </c>
      <c r="H1192" t="inlineStr">
        <is>
          <t>GM</t>
        </is>
      </c>
      <c r="J1192" t="n">
        <v>3200</v>
      </c>
      <c r="K1192" t="inlineStr">
        <is>
          <t>◎ 長度：105~130cm、收納長度：63cm、重量：195g。
◎ 材質：碳纖維強化塑料、鋁合金，握把EVA。
◎ 本款有避震，附擋泥板及擋雪板。</t>
        </is>
      </c>
    </row>
    <row r="1193">
      <c r="A1193" t="inlineStr"/>
      <c r="B1193" t="inlineStr"/>
      <c r="C1193" t="inlineStr">
        <is>
          <t>POLES</t>
        </is>
      </c>
      <c r="D1193">
        <f>U1193</f>
        <v/>
      </c>
      <c r="E1193" t="n">
        <v>1140251</v>
      </c>
      <c r="F1193" t="inlineStr">
        <is>
          <t>ALPINE CARBON POLE ANTI SHOCK S</t>
        </is>
      </c>
      <c r="G1193" t="inlineStr">
        <is>
          <t>GM      POP</t>
        </is>
      </c>
      <c r="H1193" t="inlineStr">
        <is>
          <t>POP</t>
        </is>
      </c>
      <c r="J1193" t="n">
        <v>3300</v>
      </c>
      <c r="K1193" t="inlineStr">
        <is>
          <t>◎ 適用長度：90~115cm、收納長度：59cm、總重：185g。
◎ 材質：碳纖維強化塑料、鋁合金，EVA小巧I字握把方便手小者使用，彈簧避震。</t>
        </is>
      </c>
    </row>
    <row r="1194">
      <c r="A1194" t="inlineStr"/>
      <c r="B1194" t="inlineStr"/>
      <c r="C1194" t="inlineStr">
        <is>
          <t>POLES</t>
        </is>
      </c>
      <c r="D1194">
        <f>U1194</f>
        <v/>
      </c>
      <c r="E1194" t="n">
        <v>1140250</v>
      </c>
      <c r="F1194" t="inlineStr">
        <is>
          <t>ALPINE CARBON POLE S</t>
        </is>
      </c>
      <c r="G1194" t="inlineStr">
        <is>
          <t>CARB</t>
        </is>
      </c>
      <c r="J1194" t="n">
        <v>3280</v>
      </c>
      <c r="K1194" t="inlineStr">
        <is>
          <t>◎ 重量：170g。可用長度：90～115cm。收納長度：56cm。 I 型握把，設計較小，適合手掌較小的人使用。上下節皆採用旋轉鎖定設計。
 ◎ 杖身：碳纖維強化塑膠、鋁合金。握把：EVA。腕帶：尼龍。</t>
        </is>
      </c>
    </row>
    <row r="1195">
      <c r="A1195" t="inlineStr"/>
      <c r="B1195" t="inlineStr"/>
      <c r="C1195" t="inlineStr">
        <is>
          <t>POLES</t>
        </is>
      </c>
      <c r="D1195">
        <f>U1195</f>
        <v/>
      </c>
      <c r="E1195" t="n">
        <v>1140244</v>
      </c>
      <c r="F1195" t="inlineStr">
        <is>
          <t>ALPINE POLE ANTI SHOCK</t>
        </is>
      </c>
      <c r="G1195" t="inlineStr">
        <is>
          <t>DKMA      GM</t>
        </is>
      </c>
      <c r="H1195" t="inlineStr">
        <is>
          <t>DKMA</t>
        </is>
      </c>
      <c r="J1195" t="n">
        <v>2420</v>
      </c>
      <c r="K1195" t="inlineStr">
        <is>
          <t>◎ 適用長度：105~130cm、收納長度：64cm、總重：220g。
◎ 材質：鋁合金。I字型EVA把手輕量好握，本款有避震，鎢鋼頭耐磨性佳。</t>
        </is>
      </c>
    </row>
    <row r="1196">
      <c r="A1196" t="inlineStr"/>
      <c r="B1196" t="inlineStr"/>
      <c r="C1196" t="inlineStr">
        <is>
          <t>POLES</t>
        </is>
      </c>
      <c r="D1196">
        <f>U1196</f>
        <v/>
      </c>
      <c r="E1196" t="n">
        <v>1140245</v>
      </c>
      <c r="F1196" t="inlineStr">
        <is>
          <t>ALPINE POLE ANTI SHOCK S</t>
        </is>
      </c>
      <c r="G1196" t="inlineStr">
        <is>
          <t>BGD      RPU</t>
        </is>
      </c>
      <c r="H1196" t="inlineStr">
        <is>
          <t>RPU</t>
        </is>
      </c>
      <c r="J1196" t="n">
        <v>2450</v>
      </c>
      <c r="K1196" t="inlineStr">
        <is>
          <t>◎ 適用長度：90~115cm、收納長度：59cm、總重：205g。
◎ 材質：鋁合金。I字型EVA把手輕量好握，本款有避震，鎢鋼頭耐磨性佳。</t>
        </is>
      </c>
    </row>
    <row r="1197">
      <c r="A1197" t="inlineStr"/>
      <c r="B1197" t="inlineStr"/>
      <c r="C1197" t="inlineStr">
        <is>
          <t>POLES</t>
        </is>
      </c>
      <c r="D1197">
        <f>U1197</f>
        <v/>
      </c>
      <c r="E1197" t="n">
        <v>1140246</v>
      </c>
      <c r="F1197" t="inlineStr">
        <is>
          <t>ALPINE POLE CAM LOCK DRY GRIP</t>
        </is>
      </c>
      <c r="G1197" t="inlineStr">
        <is>
          <t>DKMA      SHAD</t>
        </is>
      </c>
      <c r="J1197" t="n">
        <v>2560</v>
      </c>
      <c r="K1197" t="inlineStr">
        <is>
          <t>◎ 適用長度：105~130cm、收納長度：60cm、總重：253g。
◎ 材質：鋁合金。固定採用快扣系統。I字型EVA把手採用乾式握把，可防止濕雪附著並防止結冰，因此可用於登山和滑雪等廣泛的活動。鎢鋼頭耐磨性佳。</t>
        </is>
      </c>
    </row>
    <row r="1198">
      <c r="A1198" t="inlineStr"/>
      <c r="B1198" t="inlineStr"/>
      <c r="C1198" t="inlineStr">
        <is>
          <t>POLES</t>
        </is>
      </c>
      <c r="D1198">
        <f>U1198</f>
        <v/>
      </c>
      <c r="E1198" t="n">
        <v>1140273</v>
      </c>
      <c r="F1198" t="inlineStr">
        <is>
          <t>CARBON FOLDING POLE 100</t>
        </is>
      </c>
      <c r="G1198" t="inlineStr">
        <is>
          <t>CARB</t>
        </is>
      </c>
      <c r="J1198" t="n">
        <v>3150</v>
      </c>
      <c r="K1198" t="inlineStr">
        <is>
          <t>◎ 材質：碳纖維，握把EVA。
◎ 適用長度：90~100cm。長度不可調整。</t>
        </is>
      </c>
    </row>
    <row r="1199">
      <c r="A1199" t="inlineStr"/>
      <c r="B1199" t="inlineStr"/>
      <c r="C1199" t="inlineStr">
        <is>
          <t>POLES</t>
        </is>
      </c>
      <c r="D1199">
        <f>U1199</f>
        <v/>
      </c>
      <c r="E1199" t="n">
        <v>1140274</v>
      </c>
      <c r="F1199" t="inlineStr">
        <is>
          <t>CARBON FOLDING POLE 105</t>
        </is>
      </c>
      <c r="G1199" t="inlineStr">
        <is>
          <t>CARB</t>
        </is>
      </c>
      <c r="J1199" t="n">
        <v>3180</v>
      </c>
      <c r="K1199" t="inlineStr">
        <is>
          <t>◎ 材質：碳纖維，握把EVA。
◎ 適用長度：95~105cm。長度不可調整。</t>
        </is>
      </c>
    </row>
    <row r="1200">
      <c r="A1200" t="inlineStr"/>
      <c r="B1200" t="inlineStr"/>
      <c r="C1200" t="inlineStr">
        <is>
          <t>POLES</t>
        </is>
      </c>
      <c r="D1200">
        <f>U1200</f>
        <v/>
      </c>
      <c r="E1200" t="n">
        <v>1140275</v>
      </c>
      <c r="F1200" t="inlineStr">
        <is>
          <t>CARBON FOLDING POLE 113</t>
        </is>
      </c>
      <c r="G1200" t="inlineStr">
        <is>
          <t>CARB</t>
        </is>
      </c>
      <c r="H1200" t="inlineStr">
        <is>
          <t>CARB</t>
        </is>
      </c>
      <c r="J1200" t="n">
        <v>3210</v>
      </c>
      <c r="K1200" t="inlineStr">
        <is>
          <t>◎ 材質：碳纖維，握把EVA。
◎ 適用長度：103~113cm。長度不可調整。</t>
        </is>
      </c>
    </row>
    <row r="1201">
      <c r="A1201" t="inlineStr"/>
      <c r="B1201" t="inlineStr"/>
      <c r="C1201" t="inlineStr">
        <is>
          <t>POLES</t>
        </is>
      </c>
      <c r="D1201">
        <f>U1201</f>
        <v/>
      </c>
      <c r="E1201" t="n">
        <v>1140276</v>
      </c>
      <c r="F1201" t="inlineStr">
        <is>
          <t>CARBON FOLDING POLE 120</t>
        </is>
      </c>
      <c r="G1201" t="inlineStr">
        <is>
          <t>CARB</t>
        </is>
      </c>
      <c r="J1201" t="n">
        <v>3250</v>
      </c>
      <c r="K1201" t="inlineStr">
        <is>
          <t>◎ 材質：碳纖維，握把EVA。
◎ 適用長度：110~120cm。長度不可調整。</t>
        </is>
      </c>
    </row>
    <row r="1202">
      <c r="A1202" t="inlineStr"/>
      <c r="B1202" t="inlineStr"/>
      <c r="C1202" t="inlineStr">
        <is>
          <t>POLES</t>
        </is>
      </c>
      <c r="D1202">
        <f>U1202</f>
        <v/>
      </c>
      <c r="E1202" t="n">
        <v>1140283</v>
      </c>
      <c r="F1202" t="inlineStr">
        <is>
          <t>T GRIP ANTI SHOCK</t>
        </is>
      </c>
      <c r="G1202" t="inlineStr">
        <is>
          <t>GY      OG</t>
        </is>
      </c>
      <c r="H1202" t="inlineStr">
        <is>
          <t>OG</t>
        </is>
      </c>
      <c r="J1202" t="n">
        <v>1250</v>
      </c>
      <c r="K1202" t="inlineStr">
        <is>
          <t>◎ 適用長度：80~100cm、總重：250g。
◎ 材質：鋁合金。本款有避震，鎢鋼頭耐磨性佳。
◎ 改款重點：第一節改為快扣調整。</t>
        </is>
      </c>
    </row>
    <row r="1203">
      <c r="A1203" t="inlineStr"/>
      <c r="B1203" t="inlineStr"/>
      <c r="C1203" t="inlineStr">
        <is>
          <t>POLES</t>
        </is>
      </c>
      <c r="D1203">
        <f>U1203</f>
        <v/>
      </c>
      <c r="E1203" t="n">
        <v>1140284</v>
      </c>
      <c r="F1203" t="inlineStr">
        <is>
          <t>T GRIP ANTI SHOCK S</t>
        </is>
      </c>
      <c r="G1203" t="inlineStr">
        <is>
          <t>BGY      LV</t>
        </is>
      </c>
      <c r="J1203" t="n">
        <v>1220</v>
      </c>
      <c r="K1203" t="inlineStr">
        <is>
          <t>◎ 適用長度：70~90cm、收納長度：52cm、總重：203g。
◎ 材質：鋁合金。本款有避震，鎢鋼頭耐磨性佳。</t>
        </is>
      </c>
    </row>
    <row r="1204">
      <c r="A1204" t="inlineStr">
        <is>
          <t>27SS</t>
        </is>
      </c>
      <c r="B1204" t="inlineStr">
        <is>
          <t>27SS</t>
        </is>
      </c>
      <c r="C1204" t="inlineStr">
        <is>
          <t>POLES</t>
        </is>
      </c>
      <c r="D1204">
        <f>U1204</f>
        <v/>
      </c>
      <c r="E1204" t="n">
        <v>1140281</v>
      </c>
      <c r="F1204" t="inlineStr">
        <is>
          <t>T GRIP CAM LOCK</t>
        </is>
      </c>
      <c r="G1204" t="inlineStr">
        <is>
          <t>BL      GN</t>
        </is>
      </c>
      <c r="H1204" t="inlineStr">
        <is>
          <t>GN</t>
        </is>
      </c>
      <c r="J1204" t="n">
        <v>1200</v>
      </c>
      <c r="K1204" t="inlineStr">
        <is>
          <t>◎ 重量：250g，長度：80-100cm。杖身：鋁合金。T型握把健行登山杖，下節採自動鎖定設計，具備快扣可調設計，可快速組裝與調整長度。上節採用快扣（Lever lock）調節設計，下節採用棘輪調節。</t>
        </is>
      </c>
    </row>
    <row r="1205">
      <c r="A1205" t="inlineStr"/>
      <c r="B1205" t="inlineStr"/>
      <c r="C1205" t="inlineStr">
        <is>
          <t>POLES</t>
        </is>
      </c>
      <c r="D1205">
        <f>U1205</f>
        <v/>
      </c>
      <c r="E1205" t="n">
        <v>1140268</v>
      </c>
      <c r="F1205" t="inlineStr">
        <is>
          <t>T GRIP FOLDING POLE</t>
        </is>
      </c>
      <c r="G1205" t="inlineStr">
        <is>
          <t>CARB</t>
        </is>
      </c>
      <c r="H1205" t="inlineStr">
        <is>
          <t>CARB</t>
        </is>
      </c>
      <c r="J1205" t="n">
        <v>3600</v>
      </c>
      <c r="K1205" t="inlineStr">
        <is>
          <t>◎材質：碳纖維強化塑料、鋁合金，握把：彈性聚丙烯。
◎ 適用長度：80~100cm、收納長度：40cm、重量：238g。</t>
        </is>
      </c>
    </row>
    <row r="1206">
      <c r="A1206" t="inlineStr"/>
      <c r="B1206" t="inlineStr"/>
      <c r="C1206" t="inlineStr">
        <is>
          <t>POLES</t>
        </is>
      </c>
      <c r="D1206">
        <f>U1206</f>
        <v/>
      </c>
      <c r="E1206" t="n">
        <v>1140269</v>
      </c>
      <c r="F1206" t="inlineStr">
        <is>
          <t>T GRIP FOLDING POLE S</t>
        </is>
      </c>
      <c r="G1206" t="inlineStr">
        <is>
          <t>CARB</t>
        </is>
      </c>
      <c r="J1206" t="n">
        <v>3530</v>
      </c>
      <c r="K1206" t="inlineStr">
        <is>
          <t>◎材質：碳纖維強化塑料、鋁合金，握把：彈性聚丙烯。
◎ 適用長度：70~90cm、收納長度：40cm、重量：221g。</t>
        </is>
      </c>
    </row>
    <row r="1207">
      <c r="A1207" t="inlineStr">
        <is>
          <t>27SS</t>
        </is>
      </c>
      <c r="B1207" t="inlineStr">
        <is>
          <t>27SS</t>
        </is>
      </c>
      <c r="C1207" t="inlineStr">
        <is>
          <t>POLES</t>
        </is>
      </c>
      <c r="D1207">
        <f>U1207</f>
        <v/>
      </c>
      <c r="E1207" t="n">
        <v>1140285</v>
      </c>
      <c r="F1207" t="inlineStr">
        <is>
          <t>TRAIL POLE CAM LOCK</t>
        </is>
      </c>
      <c r="G1207" t="inlineStr">
        <is>
          <t>GN      GY      NV</t>
        </is>
      </c>
      <c r="H1207" t="inlineStr">
        <is>
          <t>GN</t>
        </is>
      </c>
      <c r="J1207" t="n">
        <v>1440</v>
      </c>
      <c r="K1207" t="inlineStr">
        <is>
          <t>◎ 重量：258g，可用長度：105-130cm。材質：鋁合金。三節式健行登山杖，採用快扣設計，標準握把。上節採用快扣（Lever lock）調節設計，下節採用棘輪調節。</t>
        </is>
      </c>
    </row>
    <row r="1208">
      <c r="A1208" t="inlineStr"/>
      <c r="B1208" t="inlineStr"/>
      <c r="C1208" t="inlineStr">
        <is>
          <t>POLES</t>
        </is>
      </c>
      <c r="D1208">
        <f>U1208</f>
        <v/>
      </c>
      <c r="E1208" t="n">
        <v>1140258</v>
      </c>
      <c r="F1208" t="inlineStr">
        <is>
          <t>U.L. FOLDING POLE 100</t>
        </is>
      </c>
      <c r="G1208" t="inlineStr">
        <is>
          <t>SHAD</t>
        </is>
      </c>
      <c r="J1208" t="n">
        <v>2300</v>
      </c>
      <c r="K1208" t="inlineStr">
        <is>
          <t>◎材質：鋁合金，EVA握把，尼龍手帶。
◎重量：139g，長90-100cm，收納長32cm，附半圓形固定式擋泥板及保護蓋，自動鎖定設計，超輕量可折疊登山杖。</t>
        </is>
      </c>
    </row>
    <row r="1209">
      <c r="A1209" t="inlineStr"/>
      <c r="B1209" t="inlineStr"/>
      <c r="C1209" t="inlineStr">
        <is>
          <t>POLES</t>
        </is>
      </c>
      <c r="D1209">
        <f>U1209</f>
        <v/>
      </c>
      <c r="E1209" t="n">
        <v>1140259</v>
      </c>
      <c r="F1209" t="inlineStr">
        <is>
          <t>U.L. FOLDING POLE 105</t>
        </is>
      </c>
      <c r="G1209" t="inlineStr">
        <is>
          <t>OGRD</t>
        </is>
      </c>
      <c r="J1209" t="n">
        <v>2300</v>
      </c>
      <c r="K1209" t="inlineStr">
        <is>
          <t>◎材質：鋁合金，EVA握把，尼龍手帶。
◎重量：142g，長95-105cm，收納長34cm，附半圓形固定式擋泥板及保護蓋，自動鎖定設計，超輕量可折疊登山杖。</t>
        </is>
      </c>
    </row>
    <row r="1210">
      <c r="A1210" t="inlineStr"/>
      <c r="B1210" t="inlineStr"/>
      <c r="C1210" t="inlineStr">
        <is>
          <t>POLES</t>
        </is>
      </c>
      <c r="D1210">
        <f>U1210</f>
        <v/>
      </c>
      <c r="E1210" t="n">
        <v>1140260</v>
      </c>
      <c r="F1210" t="inlineStr">
        <is>
          <t>U.L. FOLDING POLE 113</t>
        </is>
      </c>
      <c r="G1210" t="inlineStr">
        <is>
          <t>CYL</t>
        </is>
      </c>
      <c r="J1210" t="n">
        <v>2400</v>
      </c>
      <c r="K1210" t="inlineStr">
        <is>
          <t>◎ 適用長度：103~113cm、收納長度：36cm、總重：147g。
◎ 材質：鋁合金。EVA長握把設計的超輕折疊杖，可收納至極小。鎢鋼頭耐磨性佳。</t>
        </is>
      </c>
    </row>
    <row r="1211">
      <c r="A1211" t="inlineStr"/>
      <c r="B1211" t="inlineStr"/>
      <c r="C1211" t="inlineStr">
        <is>
          <t>POLES</t>
        </is>
      </c>
      <c r="D1211">
        <f>U1211</f>
        <v/>
      </c>
      <c r="E1211" t="n">
        <v>1140261</v>
      </c>
      <c r="F1211" t="inlineStr">
        <is>
          <t>U.L. FOLDING POLE 120</t>
        </is>
      </c>
      <c r="G1211" t="inlineStr">
        <is>
          <t>DKMA</t>
        </is>
      </c>
      <c r="J1211" t="n">
        <v>2460</v>
      </c>
      <c r="K1211" t="inlineStr">
        <is>
          <t>◎ 適用長度：110~120cm、收納長度：39cm、總重：153g。
◎ 材質：鋁合金。EVA長握把設計的超輕折疊杖，可收納至極小。鎢鋼頭耐磨性佳。</t>
        </is>
      </c>
    </row>
    <row r="1212">
      <c r="A1212" t="inlineStr">
        <is>
          <t>27SS</t>
        </is>
      </c>
      <c r="B1212" t="inlineStr">
        <is>
          <t>27SS</t>
        </is>
      </c>
      <c r="C1212" t="inlineStr">
        <is>
          <t>SLEEPING BAG</t>
        </is>
      </c>
      <c r="D1212">
        <f>U1212</f>
        <v/>
      </c>
      <c r="E1212" t="n">
        <v>1121419</v>
      </c>
      <c r="F1212" t="inlineStr">
        <is>
          <t>BUGPROOF SLEEPING NET</t>
        </is>
      </c>
      <c r="G1212" t="inlineStr">
        <is>
          <t>OVYL</t>
        </is>
      </c>
      <c r="J1212" t="n">
        <v>4600</v>
      </c>
      <c r="K1212" t="inlineStr">
        <is>
          <t>◎ 尺寸：90x60x40cm、收納：Φ21x2cm、重量：137g。
◎ 可在睡袋上使用的彈出式防蟲網。由細網狀材料製成。
◎ 框架具有適當彈性和柔韌性的金屬絲，輕鬆折疊與展開。</t>
        </is>
      </c>
    </row>
    <row r="1213">
      <c r="A1213" t="inlineStr">
        <is>
          <t>27SS</t>
        </is>
      </c>
      <c r="B1213" t="inlineStr">
        <is>
          <t>27SS</t>
        </is>
      </c>
      <c r="C1213" t="inlineStr">
        <is>
          <t>SLEEPING BAG</t>
        </is>
      </c>
      <c r="D1213">
        <f>U1213</f>
        <v/>
      </c>
      <c r="E1213" t="n">
        <v>1121343</v>
      </c>
      <c r="F1213" t="inlineStr">
        <is>
          <t>CLIMAAIR BLANKET M</t>
        </is>
      </c>
      <c r="G1213" t="inlineStr">
        <is>
          <t>DGY      KH</t>
        </is>
      </c>
      <c r="H1213" t="inlineStr">
        <is>
          <t>KH</t>
        </is>
      </c>
      <c r="J1213" t="n">
        <v>1300</v>
      </c>
      <c r="K1213" t="inlineStr">
        <is>
          <t>◎ 尺寸：100×141cm、收納：Φ17×25cm、重量：416g。
◎表布：CLIMAAIR®觸感柔順的長刷毛。可披身或繞腰，輕巧舒適。</t>
        </is>
      </c>
    </row>
    <row r="1214">
      <c r="A1214" t="inlineStr">
        <is>
          <t>27SS</t>
        </is>
      </c>
      <c r="B1214" t="inlineStr">
        <is>
          <t>27SS</t>
        </is>
      </c>
      <c r="C1214" t="inlineStr">
        <is>
          <t>SLEEPING BAG</t>
        </is>
      </c>
      <c r="D1214">
        <f>U1214</f>
        <v/>
      </c>
      <c r="E1214" t="n">
        <v>1121342</v>
      </c>
      <c r="F1214" t="inlineStr">
        <is>
          <t>CLIMAAIR BLANKET S</t>
        </is>
      </c>
      <c r="G1214" t="inlineStr">
        <is>
          <t>DGY      KH</t>
        </is>
      </c>
      <c r="H1214" t="inlineStr">
        <is>
          <t>KH</t>
        </is>
      </c>
      <c r="J1214" t="n">
        <v>1150</v>
      </c>
      <c r="K1214" t="inlineStr">
        <is>
          <t>◎ 尺寸：69×111cm、收納尺寸：Φ15×17cm、重量：242g。
◎表布：CLIMAAIR®觸感柔順的長刷毛。可披身或繞腰，輕巧舒適。</t>
        </is>
      </c>
    </row>
    <row r="1215">
      <c r="A1215" t="inlineStr">
        <is>
          <t>27SS</t>
        </is>
      </c>
      <c r="B1215" t="inlineStr">
        <is>
          <t>27SS</t>
        </is>
      </c>
      <c r="C1215" t="inlineStr">
        <is>
          <t>SLEEPING BAG</t>
        </is>
      </c>
      <c r="D1215">
        <f>U1215</f>
        <v/>
      </c>
      <c r="E1215" t="n">
        <v>1121815</v>
      </c>
      <c r="F1215" t="inlineStr">
        <is>
          <t>DRY SEAMLESS DOWN HUGGER 800 #1</t>
        </is>
      </c>
      <c r="G1215" t="inlineStr">
        <is>
          <t>RD</t>
        </is>
      </c>
      <c r="J1215" t="n">
        <v>14950</v>
      </c>
      <c r="K1215" t="inlineStr">
        <is>
          <t>◎ 適用身高：183cm。舒適溫度-3度、極限溫度-9度。伸縮率135%。填充：800FP鵝絨、表布：12D Ballistic Airlight®布料，(SUPER) DRYTEC(PFAS-free) ，內裡：15D Ballistic Airlight®布料（撥水加工）。無縫線、無隔間減少冷點及減輕重量。</t>
        </is>
      </c>
    </row>
    <row r="1216">
      <c r="A1216" t="inlineStr">
        <is>
          <t>27SS</t>
        </is>
      </c>
      <c r="B1216" t="inlineStr">
        <is>
          <t>27SS</t>
        </is>
      </c>
      <c r="C1216" t="inlineStr">
        <is>
          <t>SLEEPING BAG</t>
        </is>
      </c>
      <c r="D1216">
        <f>U1216</f>
        <v/>
      </c>
      <c r="E1216" t="n">
        <v>1121816</v>
      </c>
      <c r="F1216" t="inlineStr">
        <is>
          <t>DRY SEAMLESS DOWN HUGGER 800 #2</t>
        </is>
      </c>
      <c r="G1216" t="inlineStr">
        <is>
          <t>MGD</t>
        </is>
      </c>
      <c r="H1216" t="inlineStr">
        <is>
          <t>MGD</t>
        </is>
      </c>
      <c r="J1216" t="n">
        <v>13220</v>
      </c>
      <c r="K1216" t="inlineStr">
        <is>
          <t>◎ 適用身高：183cm。舒適溫度1度、極限溫度-5度。伸縮率135%。填充：800FP鵝絨、表布：12D Ballistic Airlight®布料，(SUPER) DRYTEC(PFAS-free) ，內裡：15D Ballistic Airlight®布料（撥水加工）。無縫線、無隔間減少冷點及減輕重量。</t>
        </is>
      </c>
    </row>
    <row r="1217">
      <c r="A1217" t="inlineStr">
        <is>
          <t>27SS</t>
        </is>
      </c>
      <c r="B1217" t="inlineStr">
        <is>
          <t>27SS</t>
        </is>
      </c>
      <c r="C1217" t="inlineStr">
        <is>
          <t>SLEEPING BAG</t>
        </is>
      </c>
      <c r="D1217">
        <f>U1217</f>
        <v/>
      </c>
      <c r="E1217" t="n">
        <v>1121817</v>
      </c>
      <c r="F1217" t="inlineStr">
        <is>
          <t>DRY SEAMLESS DOWN HUGGER 800 #3</t>
        </is>
      </c>
      <c r="G1217" t="inlineStr">
        <is>
          <t>DTL</t>
        </is>
      </c>
      <c r="J1217" t="n">
        <v>10710</v>
      </c>
      <c r="K1217" t="inlineStr">
        <is>
          <t>◎ 適用身高：183cm。舒適溫度5度、極限溫度0度。伸縮率135%。填充：800FP鵝絨、表布：12D Ballistic Airlight®布料，(SUPER) DRYTEC(PFAS-free) ，內裡：15D Ballistic Airlight®布料（撥水加工）。無縫線、無隔間減少冷點及減輕重量。</t>
        </is>
      </c>
    </row>
    <row r="1218">
      <c r="A1218" t="inlineStr">
        <is>
          <t>27SS</t>
        </is>
      </c>
      <c r="B1218" t="inlineStr">
        <is>
          <t>27SS</t>
        </is>
      </c>
      <c r="C1218" t="inlineStr">
        <is>
          <t>SLEEPING BAG</t>
        </is>
      </c>
      <c r="D1218">
        <f>U1218</f>
        <v/>
      </c>
      <c r="E1218" t="n">
        <v>1121818</v>
      </c>
      <c r="F1218" t="inlineStr">
        <is>
          <t>DRY SEAMLESS DOWN HUGGER 800 #5</t>
        </is>
      </c>
      <c r="G1218" t="inlineStr">
        <is>
          <t>BL</t>
        </is>
      </c>
      <c r="J1218" t="n">
        <v>8820</v>
      </c>
      <c r="K1218" t="inlineStr">
        <is>
          <t>◎ 適用身高：183cm。舒適溫度8度、極限溫度4度。伸縮率135%。填充：800FP鵝絨、表布：12D Ballistic Airlight®布料，(SUPER) DRYTEC(PFAS-free) ，內裡：15D Ballistic Airlight®布料（撥水加工）。無縫線、無隔間減少冷點及減輕重量。</t>
        </is>
      </c>
    </row>
    <row r="1219">
      <c r="A1219" t="inlineStr">
        <is>
          <t>26FW</t>
        </is>
      </c>
      <c r="B1219" t="inlineStr">
        <is>
          <t>26FW</t>
        </is>
      </c>
      <c r="C1219" t="inlineStr">
        <is>
          <t>SLEEPING BAG</t>
        </is>
      </c>
      <c r="D1219">
        <f>U1219</f>
        <v/>
      </c>
      <c r="E1219" t="n">
        <v>1121517</v>
      </c>
      <c r="F1219" t="inlineStr">
        <is>
          <t>FEATHER BLANKET L</t>
        </is>
      </c>
      <c r="G1219" t="inlineStr">
        <is>
          <t>DGY      IV</t>
        </is>
      </c>
      <c r="H1219" t="inlineStr">
        <is>
          <t>DGY</t>
        </is>
      </c>
      <c r="J1219" t="n">
        <v>3560</v>
      </c>
      <c r="K1219" t="inlineStr">
        <is>
          <t>◎ 尺寸：136x192cm、收納：31x20x11cm、重量：432g。
◎ 表布：15D尼龍（撥水加工、防靜電）。填充：500FP高品質羽絨。
◎ 有按扣和抽繩，可以疊穿或纏繞在腰間，可兩面穿。</t>
        </is>
      </c>
    </row>
    <row r="1220">
      <c r="A1220" t="inlineStr">
        <is>
          <t>26FW</t>
        </is>
      </c>
      <c r="B1220" t="inlineStr">
        <is>
          <t>26FW</t>
        </is>
      </c>
      <c r="C1220" t="inlineStr">
        <is>
          <t>SLEEPING BAG</t>
        </is>
      </c>
      <c r="D1220">
        <f>U1220</f>
        <v/>
      </c>
      <c r="E1220" t="n">
        <v>1121516</v>
      </c>
      <c r="F1220" t="inlineStr">
        <is>
          <t>FEATHER BLANKET M</t>
        </is>
      </c>
      <c r="G1220" t="inlineStr">
        <is>
          <t>DGY      IV      NV      OG</t>
        </is>
      </c>
      <c r="H1220" t="inlineStr">
        <is>
          <t>OG</t>
        </is>
      </c>
      <c r="J1220" t="n">
        <v>2350</v>
      </c>
      <c r="K1220" t="inlineStr">
        <is>
          <t>◎ 尺寸：96x133cm、收納：18x20x9cm、重量：235g。
◎ 表布：15D尼龍（撥水加工、防靜電）。 填充：500FP高品質羽絨。
◎ 有按扣和抽繩，可以疊穿或纏繞在腰間，可兩面穿。</t>
        </is>
      </c>
    </row>
    <row r="1221">
      <c r="A1221" t="inlineStr">
        <is>
          <t>26FW</t>
        </is>
      </c>
      <c r="B1221" t="inlineStr">
        <is>
          <t>26FW</t>
        </is>
      </c>
      <c r="C1221" t="inlineStr">
        <is>
          <t>SLEEPING BAG</t>
        </is>
      </c>
      <c r="D1221">
        <f>U1221</f>
        <v/>
      </c>
      <c r="E1221" t="n">
        <v>1121515</v>
      </c>
      <c r="F1221" t="inlineStr">
        <is>
          <t>FEATHER BLANKET S</t>
        </is>
      </c>
      <c r="G1221" t="inlineStr">
        <is>
          <t>DGY      IV      NV      OG</t>
        </is>
      </c>
      <c r="H1221" t="inlineStr">
        <is>
          <t>IV</t>
        </is>
      </c>
      <c r="J1221" t="n">
        <v>1810</v>
      </c>
      <c r="K1221" t="inlineStr">
        <is>
          <t>◎ 尺寸：63x107cm、收納：18x17x6cm、重量：121g。
◎ 表布：15D尼龍（撥水加工、防靜電）。填充：500FP高品質羽絨。
◎ 有按扣和抽繩，可以疊穿或纏繞在腰間，可兩面穿。</t>
        </is>
      </c>
    </row>
    <row r="1222">
      <c r="A1222" t="inlineStr">
        <is>
          <t>26FW</t>
        </is>
      </c>
      <c r="B1222" t="inlineStr">
        <is>
          <t>26FW</t>
        </is>
      </c>
      <c r="C1222" t="inlineStr">
        <is>
          <t>SLEEPING BAG</t>
        </is>
      </c>
      <c r="D1222">
        <f>U1222</f>
        <v/>
      </c>
      <c r="E1222" t="n">
        <v>1121518</v>
      </c>
      <c r="F1222" t="inlineStr">
        <is>
          <t>L.W. CAMP LINER</t>
        </is>
      </c>
      <c r="G1222" t="inlineStr">
        <is>
          <t>NV      WRD</t>
        </is>
      </c>
      <c r="H1222" t="inlineStr">
        <is>
          <t>WRD</t>
        </is>
      </c>
      <c r="J1222" t="n">
        <v>950</v>
      </c>
      <c r="K1222" t="inlineStr">
        <is>
          <t>◎ 展開尺寸：184x77cm、收納尺寸：直徑9x15.5cm、重量：252g。
◎ 材質：75D聚酯纖維。
◎ 透氣性佳的睡袋內套，可增加睡袋的保暖性，亦可單獨使用。</t>
        </is>
      </c>
    </row>
    <row r="1223">
      <c r="A1223" t="inlineStr"/>
      <c r="B1223" t="inlineStr"/>
      <c r="C1223" t="inlineStr">
        <is>
          <t>SLEEPING BAG</t>
        </is>
      </c>
      <c r="D1223">
        <f>U1223</f>
        <v/>
      </c>
      <c r="E1223" t="n">
        <v>1121440</v>
      </c>
      <c r="F1223" t="inlineStr">
        <is>
          <t>SEAMLESS ALPINE BURROW BAG THERMAL SHEET</t>
        </is>
      </c>
      <c r="G1223" t="inlineStr">
        <is>
          <t>GM</t>
        </is>
      </c>
      <c r="H1223" t="inlineStr">
        <is>
          <t>GM</t>
        </is>
      </c>
      <c r="J1223" t="n">
        <v>4140</v>
      </c>
      <c r="K1223" t="inlineStr">
        <is>
          <t>◎ 收納尺寸：直徑12x24cm、重量：542g。
◎ 使用30D SUPER MULTI NYLON（撥水加工）。超細纖維構成的尼龍、填充EXCELOFT®專利中空纖維，舒適溫度約5度，適合夏季高山使用。
◎ 可當作睡袋保暖內套使用，增加保暖度。</t>
        </is>
      </c>
    </row>
    <row r="1224">
      <c r="A1224" t="inlineStr">
        <is>
          <t>27SS</t>
        </is>
      </c>
      <c r="B1224" t="inlineStr">
        <is>
          <t>27SS</t>
        </is>
      </c>
      <c r="C1224" t="inlineStr">
        <is>
          <t>SLEEPING BAG</t>
        </is>
      </c>
      <c r="D1224">
        <f>U1224</f>
        <v/>
      </c>
      <c r="E1224" t="n">
        <v>1121826</v>
      </c>
      <c r="F1224" t="inlineStr">
        <is>
          <t>DOWN HUGGER 800 #0</t>
        </is>
      </c>
      <c r="G1224" t="inlineStr">
        <is>
          <t>RD</t>
        </is>
      </c>
      <c r="I1224">
        <f>VLOOKUP(H1224,[1]尺寸簡表!$C$3:$D$1263,2,0)</f>
        <v/>
      </c>
      <c r="J1224" t="n">
        <v>14640</v>
      </c>
      <c r="K1224" t="inlineStr">
        <is>
          <t>◎ 適用身高：183cm以下、重量：1024g、舒適溫度-6度、極限溫度-13度，伸縮率135%。填充：800FP鵝絨、表布：15D Ballistic Airlight®抗撕裂尼龍布。無縫線、無隔間減少冷點及減輕重量。</t>
        </is>
      </c>
    </row>
    <row r="1225">
      <c r="A1225" t="inlineStr">
        <is>
          <t>27SS</t>
        </is>
      </c>
      <c r="B1225" t="inlineStr">
        <is>
          <t>27SS</t>
        </is>
      </c>
      <c r="C1225" t="inlineStr">
        <is>
          <t>SLEEPING BAG</t>
        </is>
      </c>
      <c r="D1225">
        <f>U1225</f>
        <v/>
      </c>
      <c r="E1225" t="n">
        <v>1121827</v>
      </c>
      <c r="F1225" t="inlineStr">
        <is>
          <t>DOWN HUGGER 800 #1</t>
        </is>
      </c>
      <c r="G1225" t="inlineStr">
        <is>
          <t>OG</t>
        </is>
      </c>
      <c r="I1225">
        <f>VLOOKUP(H1225,[1]尺寸簡表!$C$3:$D$1263,2,0)</f>
        <v/>
      </c>
      <c r="J1225" t="n">
        <v>12970</v>
      </c>
      <c r="K1225" t="inlineStr">
        <is>
          <t>◎ 適用身高：183cm、收納尺寸：直徑16x32cm、重量：895g、舒適溫度-3度、極限溫度-10度，伸縮率135%。填充：800FP鵝絨、表布：15D Ballistic Airlight®抗撕裂尼龍布。無縫線、無隔間減少冷點及減輕重量。</t>
        </is>
      </c>
    </row>
    <row r="1226">
      <c r="A1226" t="inlineStr">
        <is>
          <t>27SS</t>
        </is>
      </c>
      <c r="B1226" t="inlineStr">
        <is>
          <t>27SS</t>
        </is>
      </c>
      <c r="C1226" t="inlineStr">
        <is>
          <t>SLEEPING BAG</t>
        </is>
      </c>
      <c r="D1226">
        <f>U1226</f>
        <v/>
      </c>
      <c r="E1226" t="n">
        <v>1121828</v>
      </c>
      <c r="F1226" t="inlineStr">
        <is>
          <t>DOWN HUGGER 800 #2</t>
        </is>
      </c>
      <c r="G1226" t="inlineStr">
        <is>
          <t>BL      YL</t>
        </is>
      </c>
      <c r="I1226">
        <f>VLOOKUP(H1226,[1]尺寸簡表!$C$3:$D$1263,2,0)</f>
        <v/>
      </c>
      <c r="J1226" t="n">
        <v>10840</v>
      </c>
      <c r="K1226" t="inlineStr">
        <is>
          <t>◎ 適用身高：183cm、重量：705g、舒適溫度0度、極限溫度-5度，伸縮率135%。填充：800FP鵝絨、表布：15D Ballistic Airlight®抗撕裂尼龍布。無縫線、無隔間減少冷點及減輕重量。</t>
        </is>
      </c>
    </row>
    <row r="1227">
      <c r="A1227" t="inlineStr">
        <is>
          <t>27SS</t>
        </is>
      </c>
      <c r="B1227" t="inlineStr">
        <is>
          <t>27SS</t>
        </is>
      </c>
      <c r="C1227" t="inlineStr">
        <is>
          <t>SLEEPING BAG</t>
        </is>
      </c>
      <c r="D1227">
        <f>U1227</f>
        <v/>
      </c>
      <c r="E1227" t="n">
        <v>1121829</v>
      </c>
      <c r="F1227" t="inlineStr">
        <is>
          <t>DOWN HUGGER 800 #3</t>
        </is>
      </c>
      <c r="G1227" t="inlineStr">
        <is>
          <t>CN      GAR      KGN</t>
        </is>
      </c>
      <c r="H1227" t="inlineStr">
        <is>
          <t>CN</t>
        </is>
      </c>
      <c r="I1227">
        <f>VLOOKUP(H1227,[1]尺寸簡表!$C$3:$D$1263,2,0)</f>
        <v/>
      </c>
      <c r="J1227" t="n">
        <v>8730</v>
      </c>
      <c r="K1227" t="inlineStr">
        <is>
          <t>◎ 適用身高：183cm、重量：556g、舒適溫度4度、極限溫度-1度，伸縮率135%。填充：800FP鵝絨、表布：15D Ballistic Airlight®抗撕裂尼龍布。無縫線、無隔間減少冷點及減輕重量。</t>
        </is>
      </c>
    </row>
    <row r="1228">
      <c r="A1228" t="inlineStr">
        <is>
          <t>27SS</t>
        </is>
      </c>
      <c r="B1228" t="inlineStr">
        <is>
          <t>27SS</t>
        </is>
      </c>
      <c r="C1228" t="inlineStr">
        <is>
          <t>SLEEPING BAG</t>
        </is>
      </c>
      <c r="D1228">
        <f>U1228</f>
        <v/>
      </c>
      <c r="E1228" t="n">
        <v>1121830</v>
      </c>
      <c r="F1228" t="inlineStr">
        <is>
          <t>DOWN HUGGER 800 #5</t>
        </is>
      </c>
      <c r="G1228" t="inlineStr">
        <is>
          <t>BRC      DTL</t>
        </is>
      </c>
      <c r="I1228">
        <f>VLOOKUP(H1228,[1]尺寸簡表!$C$3:$D$1263,2,0)</f>
        <v/>
      </c>
      <c r="J1228" t="n">
        <v>7240</v>
      </c>
      <c r="K1228" t="inlineStr">
        <is>
          <t>◎ 適用身高：183cm以下、重量：1390g、舒適溫度-12度、極限溫度-20度，伸縮率135%。填充：800FP鵝絨、表布：15D抗撕裂超輕量Ballistic®Airlight布料。無縫線、無隔間減少冷點及減輕重量。</t>
        </is>
      </c>
    </row>
    <row r="1229">
      <c r="A1229" t="inlineStr">
        <is>
          <t>27SS</t>
        </is>
      </c>
      <c r="B1229" t="inlineStr">
        <is>
          <t>27SS</t>
        </is>
      </c>
      <c r="C1229" t="inlineStr">
        <is>
          <t>SLEEPING BAG</t>
        </is>
      </c>
      <c r="D1229">
        <f>U1229</f>
        <v/>
      </c>
      <c r="E1229" t="n">
        <v>1121825</v>
      </c>
      <c r="F1229" t="inlineStr">
        <is>
          <t>DOWN HUGGER 800 EXPEDITION</t>
        </is>
      </c>
      <c r="G1229" t="inlineStr">
        <is>
          <t>OG</t>
        </is>
      </c>
      <c r="I1229">
        <f>VLOOKUP(H1229,[1]尺寸簡表!$C$3:$D$1263,2,0)</f>
        <v/>
      </c>
      <c r="J1229" t="n">
        <v>19040</v>
      </c>
      <c r="K1229" t="inlineStr">
        <is>
          <t>◎ 適用身高：183cm以下、重量：1390g、舒適溫度-12度、極限溫度-20度，伸縮率135%。填充：800FP鵝絨、表布：15D Ballistic Airlight®抗撕裂尼龍布。無縫線、無隔間減少冷點及減輕重量。</t>
        </is>
      </c>
    </row>
    <row r="1230">
      <c r="A1230" t="inlineStr">
        <is>
          <t>27SS</t>
        </is>
      </c>
      <c r="B1230" t="inlineStr">
        <is>
          <t>27SS</t>
        </is>
      </c>
      <c r="C1230" t="inlineStr">
        <is>
          <t>SLEEPING BAG</t>
        </is>
      </c>
      <c r="D1230">
        <f>U1230</f>
        <v/>
      </c>
      <c r="E1230" t="n">
        <v>1121845</v>
      </c>
      <c r="F1230" t="inlineStr">
        <is>
          <t>DOWN HUGGER 800 HALF LENGTH #1</t>
        </is>
      </c>
      <c r="G1230" t="inlineStr">
        <is>
          <t>OG</t>
        </is>
      </c>
      <c r="J1230" t="n">
        <v>10540</v>
      </c>
      <c r="K1230" t="inlineStr">
        <is>
          <t>◎ 舒適溫度-3度、極限溫度-10度。填充：800FP鵝絨、表布：15D Ballistic Airlight®抗撕裂尼龍布。Spider Baffle System無縫線、無隔間減少冷點及減輕重量。
◎ 超輕量半長型睡袋，可與保暖外套搭配使用，有效減輕裝備重量。</t>
        </is>
      </c>
    </row>
    <row r="1231">
      <c r="A1231" t="inlineStr">
        <is>
          <t>27SS</t>
        </is>
      </c>
      <c r="B1231" t="inlineStr">
        <is>
          <t>27SS</t>
        </is>
      </c>
      <c r="C1231" t="inlineStr">
        <is>
          <t>SLEEPING BAG</t>
        </is>
      </c>
      <c r="D1231">
        <f>U1231</f>
        <v/>
      </c>
      <c r="E1231" t="n">
        <v>1121846</v>
      </c>
      <c r="F1231" t="inlineStr">
        <is>
          <t>DOWN HUGGER 800 HALF LENGTH #3</t>
        </is>
      </c>
      <c r="G1231" t="inlineStr">
        <is>
          <t>GAR</t>
        </is>
      </c>
      <c r="J1231" t="n">
        <v>7180</v>
      </c>
      <c r="K1231" t="inlineStr">
        <is>
          <t>◎ 舒適溫度4度、極限溫度-1度。填充：800FP鵝絨、表布：15D Ballistic Airlight®抗撕裂尼龍布。Spider Baffle System無縫線、無隔間減少冷點及減輕重量。
◎ 超輕量半長型睡袋，可與保暖外套搭配使用，有效減輕裝備重量。</t>
        </is>
      </c>
    </row>
    <row r="1232">
      <c r="A1232" t="inlineStr">
        <is>
          <t>27SS</t>
        </is>
      </c>
      <c r="B1232" t="inlineStr">
        <is>
          <t>27SS</t>
        </is>
      </c>
      <c r="C1232" t="inlineStr">
        <is>
          <t>SLEEPING BAG</t>
        </is>
      </c>
      <c r="D1232">
        <f>U1232</f>
        <v/>
      </c>
      <c r="E1232" t="n">
        <v>1121847</v>
      </c>
      <c r="F1232" t="inlineStr">
        <is>
          <t>DOWN HUGGER 800 HALF LENGTH #5</t>
        </is>
      </c>
      <c r="G1232" t="inlineStr">
        <is>
          <t>DTL</t>
        </is>
      </c>
      <c r="J1232" t="n">
        <v>6300</v>
      </c>
      <c r="K1232" t="inlineStr">
        <is>
          <t>◎ 舒適溫度8度、極限溫度3度。填充：800FP鵝絨、表布：15D Ballistic Airlight®抗撕裂尼龍布。Spider Baffle System無縫線、無隔間減少冷點及減輕重量。
◎ 超輕量半長型睡袋，可與保暖外套搭配使用，有效減輕裝備重量。</t>
        </is>
      </c>
    </row>
    <row r="1233">
      <c r="A1233" t="inlineStr">
        <is>
          <t>27SS</t>
        </is>
      </c>
      <c r="B1233" t="inlineStr">
        <is>
          <t>27SS</t>
        </is>
      </c>
      <c r="C1233" t="inlineStr">
        <is>
          <t>SLEEPING BAG</t>
        </is>
      </c>
      <c r="D1233">
        <f>U1233</f>
        <v/>
      </c>
      <c r="E1233" t="n">
        <v>1121839</v>
      </c>
      <c r="F1233" t="inlineStr">
        <is>
          <t>DOWN HUGGER 800 THERMAL SHEET</t>
        </is>
      </c>
      <c r="G1233" t="inlineStr">
        <is>
          <t>YGN</t>
        </is>
      </c>
      <c r="J1233" t="n">
        <v>7030</v>
      </c>
      <c r="K1233" t="inlineStr">
        <is>
          <t>◎ 適用身高：183cm、填充：800FP鵝絨、表布：15D Ballistic Airlight®抗撕裂尼龍布。無縫線、無隔間減少冷點及減輕重量。
◎ 搭配睡袋套使用可使溫域提高約5度左右。本身可完全打開當輕便毯子使用。</t>
        </is>
      </c>
    </row>
    <row r="1234">
      <c r="A1234" t="inlineStr">
        <is>
          <t>27SS</t>
        </is>
      </c>
      <c r="B1234" t="inlineStr">
        <is>
          <t>27SS</t>
        </is>
      </c>
      <c r="C1234" t="inlineStr">
        <is>
          <t>SLEEPING BAG</t>
        </is>
      </c>
      <c r="D1234">
        <f>U1234</f>
        <v/>
      </c>
      <c r="E1234" t="n">
        <v>1121840</v>
      </c>
      <c r="F1234" t="inlineStr">
        <is>
          <t>DOWN HUGGER 800 WOMEN'S #0</t>
        </is>
      </c>
      <c r="G1234" t="inlineStr">
        <is>
          <t>GAR</t>
        </is>
      </c>
      <c r="J1234" t="n">
        <v>14060</v>
      </c>
      <c r="K1234" t="inlineStr">
        <is>
          <t>◎ 適用身高：173cm以下、舒適溫度0度、極限溫度-5度，伸縮率135%。填充：800FP鵝絨、表布：15D Ballistic Airlight®抗撕裂尼龍布。無縫線、無隔間減少冷點及減輕重量，專為女性設計的款式。</t>
        </is>
      </c>
    </row>
    <row r="1235">
      <c r="A1235" t="inlineStr">
        <is>
          <t>27SS</t>
        </is>
      </c>
      <c r="B1235" t="inlineStr">
        <is>
          <t>27SS</t>
        </is>
      </c>
      <c r="C1235" t="inlineStr">
        <is>
          <t>SLEEPING BAG</t>
        </is>
      </c>
      <c r="D1235">
        <f>U1235</f>
        <v/>
      </c>
      <c r="E1235" t="n">
        <v>1121841</v>
      </c>
      <c r="F1235" t="inlineStr">
        <is>
          <t>DOWN HUGGER 800 WOMEN'S #1</t>
        </is>
      </c>
      <c r="G1235" t="inlineStr">
        <is>
          <t>RAS</t>
        </is>
      </c>
      <c r="J1235" t="n">
        <v>12590</v>
      </c>
      <c r="K1235" t="inlineStr">
        <is>
          <t>◎ 適用身高：173cm以下、舒適溫度-3度、極限溫度-10度，伸縮率135%。填充：800FP鵝絨、表布：15D Ballistic Airlight®抗撕裂尼龍布。無縫線、無隔間減少冷點及減輕重量，專為女性設計的款式。</t>
        </is>
      </c>
    </row>
    <row r="1236">
      <c r="A1236" t="inlineStr">
        <is>
          <t>27SS</t>
        </is>
      </c>
      <c r="B1236" t="inlineStr">
        <is>
          <t>27SS</t>
        </is>
      </c>
      <c r="C1236" t="inlineStr">
        <is>
          <t>SLEEPING BAG</t>
        </is>
      </c>
      <c r="D1236">
        <f>U1236</f>
        <v/>
      </c>
      <c r="E1236" t="n">
        <v>1121842</v>
      </c>
      <c r="F1236" t="inlineStr">
        <is>
          <t>DOWN HUGGER 800 WOMEN'S #2</t>
        </is>
      </c>
      <c r="G1236" t="inlineStr">
        <is>
          <t>MST</t>
        </is>
      </c>
      <c r="J1236" t="n">
        <v>10540</v>
      </c>
      <c r="K1236" t="inlineStr">
        <is>
          <t>◎ 適用身高：173cm以下、舒適溫度0度、極限溫度-5度，伸縮率135%。填充：800FP鵝絨、表布：15D Ballistic Airlight®抗撕裂尼龍布。無縫線、無隔間減少冷點及減輕重量，專為女性設計的款式。</t>
        </is>
      </c>
    </row>
    <row r="1237">
      <c r="A1237" t="inlineStr">
        <is>
          <t>27SS</t>
        </is>
      </c>
      <c r="B1237" t="inlineStr">
        <is>
          <t>27SS</t>
        </is>
      </c>
      <c r="C1237" t="inlineStr">
        <is>
          <t>SLEEPING BAG</t>
        </is>
      </c>
      <c r="D1237">
        <f>U1237</f>
        <v/>
      </c>
      <c r="E1237" t="n">
        <v>1121843</v>
      </c>
      <c r="F1237" t="inlineStr">
        <is>
          <t>DOWN HUGGER 800 WOMEN'S #3</t>
        </is>
      </c>
      <c r="G1237" t="inlineStr">
        <is>
          <t>OG      TQ</t>
        </is>
      </c>
      <c r="J1237" t="n">
        <v>8320</v>
      </c>
      <c r="K1237" t="inlineStr">
        <is>
          <t>◎ 適用身高：173cm以下、舒適溫度4度、極限溫度-1度，伸縮率135%。填充：800FP鵝絨、表布：15D Ballistic Airlight®抗撕裂尼龍布。無縫線、無隔間減少冷點及減輕重量，專為女性設計的款式。</t>
        </is>
      </c>
    </row>
    <row r="1238">
      <c r="C1238" t="inlineStr">
        <is>
          <t>SLEEPING BAG</t>
        </is>
      </c>
      <c r="D1238">
        <f>U1238</f>
        <v/>
      </c>
      <c r="E1238" t="n">
        <v>1121844</v>
      </c>
      <c r="F1238" t="inlineStr">
        <is>
          <t>DOWN HUGGER 800 WOMEN'S #5</t>
        </is>
      </c>
      <c r="G1238" t="inlineStr">
        <is>
          <t>BGY</t>
        </is>
      </c>
      <c r="J1238" t="n">
        <v>7180</v>
      </c>
      <c r="K1238" t="inlineStr">
        <is>
          <t>◎ 適用身高：173cm以下、舒適溫度8度、極限溫度4度，伸縮率135%。填充：800FP鵝絨、表布：15D Ballistic Airlight®抗撕裂尼龍布。無縫線、無隔間減少冷點及減輕重量，專為女性設計的款式。</t>
        </is>
      </c>
    </row>
    <row r="1239">
      <c r="A1239" t="inlineStr"/>
      <c r="B1239" t="inlineStr"/>
      <c r="C1239" t="inlineStr">
        <is>
          <t>SLEEPING BAG</t>
        </is>
      </c>
      <c r="D1239">
        <f>U1239</f>
        <v/>
      </c>
      <c r="E1239" t="n">
        <v>1121479</v>
      </c>
      <c r="F1239" t="inlineStr">
        <is>
          <t>SUPER DRY-TEC SLEEPING BAG COVER WIDE</t>
        </is>
      </c>
      <c r="G1239" t="inlineStr">
        <is>
          <t>RD</t>
        </is>
      </c>
      <c r="H1239" t="inlineStr">
        <is>
          <t>RD</t>
        </is>
      </c>
      <c r="J1239" t="n">
        <v>4480</v>
      </c>
      <c r="K1239" t="inlineStr">
        <is>
          <t>◎ 重量：231g。表布：12D (SUPER) DRYTEC 2L（耐水壓20,000mm+，透氣度60,000g/㎡）。
◎ 卓越的防水透氣睡袋套。緊急露宿避難外，平時帳內使用能保護睡袋。</t>
        </is>
      </c>
    </row>
    <row r="1240">
      <c r="A1240" t="inlineStr"/>
      <c r="B1240" t="inlineStr"/>
      <c r="C1240" t="inlineStr">
        <is>
          <t>SLEEPING BAG</t>
        </is>
      </c>
      <c r="D1240">
        <f>U1240</f>
        <v/>
      </c>
      <c r="E1240" t="n">
        <v>1121482</v>
      </c>
      <c r="F1240" t="inlineStr">
        <is>
          <t>U.L. SLEEPING BAG COVER</t>
        </is>
      </c>
      <c r="G1240" t="inlineStr">
        <is>
          <t>WT</t>
        </is>
      </c>
      <c r="H1240" t="inlineStr">
        <is>
          <t>WT</t>
        </is>
      </c>
      <c r="J1240" t="n">
        <v>2310</v>
      </c>
      <c r="K1240" t="inlineStr">
        <is>
          <t>◎ 重量：164g。材質：Tyvek®聚乙烯無紡布（透氣度7,000g/㎡）。
◎ 超輕量、質地強韌觸感柔軟、化學品防護性、高耐候性（UV CUT素材可遮蔽90%紫外線、隔熱、防風、抗水、防霉、透氣性）。</t>
        </is>
      </c>
    </row>
    <row r="1241">
      <c r="A1241" t="inlineStr"/>
      <c r="B1241" t="inlineStr"/>
      <c r="C1241" t="inlineStr">
        <is>
          <t>SLEEPING BAG</t>
        </is>
      </c>
      <c r="D1241">
        <f>U1241</f>
        <v/>
      </c>
      <c r="E1241" t="n">
        <v>1121481</v>
      </c>
      <c r="F1241" t="inlineStr">
        <is>
          <t>U.L. SLEEPING BAG COVER WIDE</t>
        </is>
      </c>
      <c r="G1241" t="inlineStr">
        <is>
          <t>WT</t>
        </is>
      </c>
      <c r="H1241" t="inlineStr">
        <is>
          <t>WT</t>
        </is>
      </c>
      <c r="J1241" t="n">
        <v>2810</v>
      </c>
      <c r="K1241" t="inlineStr">
        <is>
          <t>◎ 重量：188g。材質：Tyvek®聚乙烯無紡布（透氣度7,000g/㎡）。
◎ 超輕量、質地強韌觸感柔軟、化學品防護性、高耐候性（UV CUT素材可遮蔽90%紫外線、隔熱、防風、抗水、防霉、透氣性）。</t>
        </is>
      </c>
    </row>
    <row r="1242">
      <c r="A1242" t="inlineStr">
        <is>
          <t>26FW</t>
        </is>
      </c>
      <c r="B1242" t="inlineStr">
        <is>
          <t>26FW</t>
        </is>
      </c>
      <c r="C1242" t="inlineStr">
        <is>
          <t>SLEEPING BAG</t>
        </is>
      </c>
      <c r="D1242">
        <f>U1242</f>
        <v/>
      </c>
      <c r="E1242" t="n">
        <v>1121520</v>
      </c>
      <c r="F1242" t="inlineStr">
        <is>
          <t>WARM-UP LINER PLUS</t>
        </is>
      </c>
      <c r="G1242" t="inlineStr">
        <is>
          <t>YL</t>
        </is>
      </c>
      <c r="H1242" t="inlineStr">
        <is>
          <t>YL</t>
        </is>
      </c>
      <c r="J1242" t="n">
        <v>1810</v>
      </c>
      <c r="K1242" t="inlineStr">
        <is>
          <t>◎ 重量：210g、尺寸：長184x70cm。
◎ 使用CLIMAPLUS®MESH輕質網布材質，可增加睡袋的保暖性。排汗吸濕布料讓您的皮膚更加乾爽；具有彈性適用於所有形式的睡袋。</t>
        </is>
      </c>
    </row>
    <row r="1243">
      <c r="A1243" t="inlineStr"/>
      <c r="B1243" t="inlineStr"/>
      <c r="C1243" t="inlineStr">
        <is>
          <t>SNOW GEAR</t>
        </is>
      </c>
      <c r="D1243">
        <f>U1243</f>
        <v/>
      </c>
      <c r="E1243" t="n">
        <v>1129739</v>
      </c>
      <c r="F1243" t="inlineStr">
        <is>
          <t>COMPACT SNOW SPIKES</t>
        </is>
      </c>
      <c r="G1243" t="inlineStr">
        <is>
          <t>OG</t>
        </is>
      </c>
      <c r="J1243" t="n">
        <v>960</v>
      </c>
      <c r="K1243" t="inlineStr">
        <is>
          <t>◎ 重量：210g。尺寸：7×24×6cm。適用鞋碼：21.5~30cm。材質：本體：錳鋼(板厚2mm)、束帶：彈性體。
◎ 易穿脫的輕量冰爪，兒童鞋和成人鞋皆適用，附收納袋。</t>
        </is>
      </c>
    </row>
    <row r="1244">
      <c r="A1244" t="inlineStr"/>
      <c r="B1244" t="inlineStr"/>
      <c r="C1244" t="inlineStr">
        <is>
          <t>SNOW GEAR</t>
        </is>
      </c>
      <c r="D1244">
        <f>U1244</f>
        <v/>
      </c>
      <c r="E1244" t="n">
        <v>1124652</v>
      </c>
      <c r="F1244" t="inlineStr">
        <is>
          <t>FALL LINE HELMET</t>
        </is>
      </c>
      <c r="G1244" t="inlineStr">
        <is>
          <t>BK      SEBL      WT</t>
        </is>
      </c>
      <c r="H1244" t="inlineStr">
        <is>
          <t>BK      SEBL</t>
        </is>
      </c>
      <c r="I1244">
        <f>VLOOKUP(H1244,[1]尺寸簡表!$C$3:$D$1263,2,0)</f>
        <v/>
      </c>
      <c r="J1244" t="n">
        <v>2770</v>
      </c>
      <c r="K1244" t="inlineStr">
        <is>
          <t>◎ 重量：550g（S/M）。頭圍：54~57cm(S/M)、58~61cm(M/L)。外殼:ABS、內殼:發泡聚苯乙烯、內襯墊:聚酯纖維（刷毛)。
◎雪地用頭盔，頭頂通風口可換氣。附可拆式耳罩。內襯墊可拆下洗滌。符合歐盟標準 CE（EN 1077 Class B）。</t>
        </is>
      </c>
    </row>
    <row r="1245">
      <c r="A1245" t="inlineStr"/>
      <c r="B1245" t="inlineStr"/>
      <c r="C1245" t="inlineStr">
        <is>
          <t>SNOW GEAR</t>
        </is>
      </c>
      <c r="D1245">
        <f>U1245</f>
        <v/>
      </c>
      <c r="E1245" t="n">
        <v>1129797</v>
      </c>
      <c r="F1245" t="inlineStr">
        <is>
          <t>SNOW SPIKES 6 QUICK FIT</t>
        </is>
      </c>
      <c r="G1245" t="inlineStr">
        <is>
          <t>OG</t>
        </is>
      </c>
      <c r="I1245">
        <f>VLOOKUP(H1245,[1]尺寸簡表!$C$3:$D$1263,2,0)</f>
        <v/>
      </c>
      <c r="J1245" t="n">
        <v>2130</v>
      </c>
      <c r="K1245" t="inlineStr">
        <is>
          <t>◎ 重量：530g。材質：本體：錳鋼(板厚2mm)、束帶：彈性體。
◎ 快扣式6爪冰爪，附收納袋。</t>
        </is>
      </c>
    </row>
    <row r="1246">
      <c r="A1246" t="inlineStr">
        <is>
          <t>27SS</t>
        </is>
      </c>
      <c r="B1246" t="inlineStr">
        <is>
          <t>27SS</t>
        </is>
      </c>
      <c r="C1246" t="inlineStr">
        <is>
          <t>STOVE</t>
        </is>
      </c>
      <c r="D1246">
        <f>U1246</f>
        <v/>
      </c>
      <c r="E1246" t="n">
        <v>1134475</v>
      </c>
      <c r="F1246" t="inlineStr">
        <is>
          <t>GAS CANISTER SOCK 110</t>
        </is>
      </c>
      <c r="G1246" t="inlineStr">
        <is>
          <t>BRC      DGY      NV</t>
        </is>
      </c>
      <c r="H1246" t="inlineStr">
        <is>
          <t>BRC</t>
        </is>
      </c>
      <c r="J1246" t="n">
        <v>130</v>
      </c>
      <c r="K1246" t="inlineStr">
        <is>
          <t>◎ 材質：CLIMAPRENE橡膠，完整包覆瓦斯罐，防止水氣凝結。底部口袋可放置打火石或打火機。</t>
        </is>
      </c>
    </row>
    <row r="1247">
      <c r="A1247" t="inlineStr">
        <is>
          <t>27SS</t>
        </is>
      </c>
      <c r="B1247" t="inlineStr">
        <is>
          <t>27SS</t>
        </is>
      </c>
      <c r="C1247" t="inlineStr">
        <is>
          <t>STOVE</t>
        </is>
      </c>
      <c r="D1247">
        <f>U1247</f>
        <v/>
      </c>
      <c r="E1247" t="n">
        <v>1134476</v>
      </c>
      <c r="F1247" t="inlineStr">
        <is>
          <t>GAS CANISTER SOCK 250</t>
        </is>
      </c>
      <c r="G1247" t="inlineStr">
        <is>
          <t>BRC      DGY      NV</t>
        </is>
      </c>
      <c r="H1247" t="inlineStr">
        <is>
          <t>NV</t>
        </is>
      </c>
      <c r="J1247" t="n">
        <v>140</v>
      </c>
      <c r="K1247" t="inlineStr">
        <is>
          <t>◎ 材質：CLIMAPRENE橡膠，完整包覆瓦斯罐，防止水氣凝結。底部口袋可放置打火石或打火機。</t>
        </is>
      </c>
    </row>
    <row r="1248">
      <c r="A1248" t="inlineStr"/>
      <c r="B1248" t="inlineStr"/>
      <c r="C1248" t="inlineStr">
        <is>
          <t>UMBRELLA</t>
        </is>
      </c>
      <c r="D1248">
        <f>U1248</f>
        <v/>
      </c>
      <c r="E1248" t="n">
        <v>1128696</v>
      </c>
      <c r="F1248" t="inlineStr">
        <is>
          <t>LONG TAIL TREKKING UMBRELLA</t>
        </is>
      </c>
      <c r="G1248" t="inlineStr">
        <is>
          <t>BL      DGY      OG</t>
        </is>
      </c>
      <c r="H1248" t="inlineStr">
        <is>
          <t>OG</t>
        </is>
      </c>
      <c r="J1248" t="n">
        <v>1960</v>
      </c>
      <c r="K1248" t="inlineStr">
        <is>
          <t>◎ 直徑：92cm、長度：前50cm/後60cm、收納：29cm（摺疊長)、重量：152g。
◎ 傘布：20D抗撕裂聚酯纖維（撥水加工）、中骨：碳纖維。後方傘面加長，防止背包淋濕、八支骨架、輕量堅固耐用。</t>
        </is>
      </c>
    </row>
    <row r="1249">
      <c r="A1249" t="inlineStr"/>
      <c r="B1249" t="inlineStr"/>
      <c r="C1249" t="inlineStr">
        <is>
          <t>UMBRELLA</t>
        </is>
      </c>
      <c r="D1249">
        <f>U1249</f>
        <v/>
      </c>
      <c r="E1249" t="n">
        <v>1128813</v>
      </c>
      <c r="F1249" t="inlineStr">
        <is>
          <t>O.D. CARBON UMBRELLA 60</t>
        </is>
      </c>
      <c r="G1249" t="inlineStr">
        <is>
          <t>DGY      WT</t>
        </is>
      </c>
      <c r="H1249" t="inlineStr">
        <is>
          <t>DGY</t>
        </is>
      </c>
      <c r="J1249" t="n">
        <v>3020</v>
      </c>
      <c r="K1249" t="inlineStr">
        <is>
          <t>◎ 直徑：100cm、長度：72.5cm、重量：120g。
◎ 傘布：10D Ballistic Airlight®抗撕裂聚酯纖維（撥水加工）；中骨：碳纖維。</t>
        </is>
      </c>
    </row>
    <row r="1250">
      <c r="A1250" t="inlineStr"/>
      <c r="B1250" t="inlineStr"/>
      <c r="C1250" t="inlineStr">
        <is>
          <t>UMBRELLA</t>
        </is>
      </c>
      <c r="D1250">
        <f>U1250</f>
        <v/>
      </c>
      <c r="E1250" t="n">
        <v>1128697</v>
      </c>
      <c r="F1250" t="inlineStr">
        <is>
          <t>O.D. UMBRELLA 60</t>
        </is>
      </c>
      <c r="G1250" t="inlineStr">
        <is>
          <t>RD</t>
        </is>
      </c>
      <c r="H1250" t="inlineStr">
        <is>
          <t>RD</t>
        </is>
      </c>
      <c r="J1250" t="n">
        <v>1980</v>
      </c>
      <c r="K1250" t="inlineStr">
        <is>
          <t>◎ 直徑：104cm、長度：60cm、重量：238g。
◎ 傘布：20D抗撕裂聚酯纖維（撥水加工）；中骨：玻璃纖維。 八支骨架、輕量堅固耐用。</t>
        </is>
      </c>
    </row>
    <row r="1251">
      <c r="A1251" t="inlineStr"/>
      <c r="B1251" t="inlineStr"/>
      <c r="C1251" t="inlineStr">
        <is>
          <t>UMBRELLA</t>
        </is>
      </c>
      <c r="D1251">
        <f>U1251</f>
        <v/>
      </c>
      <c r="E1251" t="n">
        <v>1128752</v>
      </c>
      <c r="F1251" t="inlineStr">
        <is>
          <t>O.D. UMBRELLA PLUS 50</t>
        </is>
      </c>
      <c r="G1251" t="inlineStr">
        <is>
          <t>BGN      KH      OG</t>
        </is>
      </c>
      <c r="H1251" t="inlineStr">
        <is>
          <t>OG</t>
        </is>
      </c>
      <c r="J1251" t="n">
        <v>1870</v>
      </c>
      <c r="K1251" t="inlineStr">
        <is>
          <t>◎ 直徑：86.5cm、長度：50cm、重量：214g。
◎ 傘布：20D抗撕裂聚酯纖維（撥水加工）；中骨：玻璃纖維。八支骨架、輕量堅固耐用。</t>
        </is>
      </c>
    </row>
    <row r="1252">
      <c r="A1252" t="inlineStr"/>
      <c r="B1252" t="inlineStr"/>
      <c r="C1252" t="inlineStr">
        <is>
          <t>UMBRELLA</t>
        </is>
      </c>
      <c r="D1252">
        <f>U1252</f>
        <v/>
      </c>
      <c r="E1252" t="n">
        <v>1128753</v>
      </c>
      <c r="F1252" t="inlineStr">
        <is>
          <t>O.D. UMBRELLA PLUS 60</t>
        </is>
      </c>
      <c r="G1252" t="inlineStr">
        <is>
          <t>BGN      KH      OG</t>
        </is>
      </c>
      <c r="H1252" t="inlineStr">
        <is>
          <t>BGN</t>
        </is>
      </c>
      <c r="J1252" t="n">
        <v>2230</v>
      </c>
      <c r="K1252" t="inlineStr">
        <is>
          <t>◎ 直徑：101cm、長度：60cm、重量：271g。
◎ 傘布：20D抗撕裂聚酯纖維（撥水加工）；中骨：玻璃纖維。八支骨架、輕量堅固耐用。</t>
        </is>
      </c>
    </row>
    <row r="1253">
      <c r="A1253" t="inlineStr"/>
      <c r="B1253" t="inlineStr"/>
      <c r="C1253" t="inlineStr">
        <is>
          <t>UMBRELLA</t>
        </is>
      </c>
      <c r="D1253">
        <f>U1253</f>
        <v/>
      </c>
      <c r="E1253" t="n">
        <v>1128754</v>
      </c>
      <c r="F1253" t="inlineStr">
        <is>
          <t>PRINT TREKKING UMBRELLA 55</t>
        </is>
      </c>
      <c r="G1253" t="inlineStr">
        <is>
          <t>#1      #2      #3      #4</t>
        </is>
      </c>
      <c r="H1253" t="inlineStr">
        <is>
          <t>#2      #3      #4</t>
        </is>
      </c>
      <c r="J1253" t="n">
        <v>2450</v>
      </c>
      <c r="K1253" t="inlineStr">
        <is>
          <t>◎ 直徑：95cm、長度：55cm、收納：27cm（摺疊長）、重量：153g。
◎ 傘布：20D抗撕裂聚酯纖維（撥水加工）；傘骨：強化碳纖維。八支骨架、輕量堅固耐用。</t>
        </is>
      </c>
    </row>
    <row r="1254">
      <c r="A1254" t="inlineStr"/>
      <c r="B1254" t="inlineStr"/>
      <c r="C1254" t="inlineStr">
        <is>
          <t>UMBRELLA</t>
        </is>
      </c>
      <c r="D1254">
        <f>U1254</f>
        <v/>
      </c>
      <c r="E1254" t="n">
        <v>1128560</v>
      </c>
      <c r="F1254" t="inlineStr">
        <is>
          <t>SUN BLOCK UMBRELLA 55</t>
        </is>
      </c>
      <c r="G1254" t="inlineStr">
        <is>
          <t>SV</t>
        </is>
      </c>
      <c r="H1254" t="inlineStr">
        <is>
          <t>SV</t>
        </is>
      </c>
      <c r="J1254" t="n">
        <v>1780</v>
      </c>
      <c r="K1254" t="inlineStr">
        <is>
          <t>◎ 直徑：98cm、長度：55cm、收納：27cm（摺疊長）、重量：200g。
◎ 傘布：75D聚酯纖維（撥水加工）。
◎ 塗層表布可遮蔽99.7%紫外線，隔熱及防曬效果一流，最適合炎熱的夏季使用。八支骨架、輕量堅固耐用。</t>
        </is>
      </c>
    </row>
    <row r="1255">
      <c r="A1255" t="inlineStr"/>
      <c r="B1255" t="inlineStr"/>
      <c r="C1255" t="inlineStr">
        <is>
          <t>UMBRELLA</t>
        </is>
      </c>
      <c r="D1255">
        <f>U1255</f>
        <v/>
      </c>
      <c r="E1255" t="n">
        <v>1128658</v>
      </c>
      <c r="F1255" t="inlineStr">
        <is>
          <t>TRAVEL SUN BLOCK UMBRELLA 50</t>
        </is>
      </c>
      <c r="G1255" t="inlineStr">
        <is>
          <t>BLBK      KH      OG</t>
        </is>
      </c>
      <c r="H1255" t="inlineStr">
        <is>
          <t>BLBK</t>
        </is>
      </c>
      <c r="J1255" t="n">
        <v>1960</v>
      </c>
      <c r="K1255" t="inlineStr">
        <is>
          <t>◎ 直徑：88cm、長度：50cm、收納：26cm（摺疊長）、重量：130g。
◎ 傘布：20D聚酯纖維（撥水加工）。
◎ 塗層表布可遮蔽99.7%紫外線，隔熱及防曬效果一流，最適合炎熱的夏季使用。六支骨架、輕量堅固耐用。</t>
        </is>
      </c>
    </row>
    <row r="1256">
      <c r="A1256" t="inlineStr"/>
      <c r="B1256" t="inlineStr"/>
      <c r="C1256" t="inlineStr">
        <is>
          <t>UMBRELLA</t>
        </is>
      </c>
      <c r="D1256">
        <f>U1256</f>
        <v/>
      </c>
      <c r="E1256" t="n">
        <v>1128751</v>
      </c>
      <c r="F1256" t="inlineStr">
        <is>
          <t>TRAVEL SUN BLOCK UMBRELLA 55</t>
        </is>
      </c>
      <c r="G1256" t="inlineStr">
        <is>
          <t>BGN      KH      OG</t>
        </is>
      </c>
      <c r="H1256" t="inlineStr">
        <is>
          <t>BGN</t>
        </is>
      </c>
      <c r="J1256" t="n">
        <v>2230</v>
      </c>
      <c r="K1256" t="inlineStr">
        <is>
          <t>◎ 直徑：95cm、長度：55cm、收納：27cm（摺疊長）、重量：159g。
◎ 傘布：20D聚酯纖維（撥水加工）。
◎ 塗層表布可遮蔽99.7%紫外線，隔熱及防曬效果一流，最適合炎熱的夏季使用。六支骨架、輕量堅固耐用。</t>
        </is>
      </c>
    </row>
    <row r="1257">
      <c r="C1257" t="inlineStr">
        <is>
          <t>UMBRELLA</t>
        </is>
      </c>
      <c r="D1257">
        <f>U1257</f>
        <v/>
      </c>
      <c r="E1257" t="n">
        <v>1128811</v>
      </c>
      <c r="F1257" t="inlineStr">
        <is>
          <t>TRAVEL SUNBLOCK UMBRELLA 50 #2</t>
        </is>
      </c>
      <c r="G1257" t="inlineStr">
        <is>
          <t>LGY</t>
        </is>
      </c>
      <c r="H1257" t="inlineStr">
        <is>
          <t>LGY</t>
        </is>
      </c>
      <c r="J1257" t="n">
        <v>1630</v>
      </c>
      <c r="K1257" t="inlineStr">
        <is>
          <t>◎ 直徑：88cm、長度：50cm、收納：23cm（摺疊長）、重量：124g。
◎ 傘布：30D聚酯纖維（撥水加工）、中骨：碳纖維。
◎ 塗層表布可遮蔽99.7%紫外線，隔熱及防曬效果一流，最適合炎熱的夏季使用。六支骨架、輕量堅固耐用。</t>
        </is>
      </c>
    </row>
    <row r="1258">
      <c r="C1258" t="inlineStr">
        <is>
          <t>UMBRELLA</t>
        </is>
      </c>
      <c r="D1258">
        <f>U1258</f>
        <v/>
      </c>
      <c r="E1258" t="n">
        <v>1128812</v>
      </c>
      <c r="F1258" t="inlineStr">
        <is>
          <t>TRAVEL SUNBLOCK UMBRELLA 55 #2</t>
        </is>
      </c>
      <c r="G1258" t="inlineStr">
        <is>
          <t>LGY</t>
        </is>
      </c>
      <c r="H1258" t="inlineStr">
        <is>
          <t>LGY</t>
        </is>
      </c>
      <c r="J1258" t="n">
        <v>1540</v>
      </c>
      <c r="K1258" t="inlineStr">
        <is>
          <t>◎ 直徑：98cm、長度：55cm、收納：25cm（摺疊長）、重量：135g。
◎ 傘布：30D聚酯纖維（撥水加工）、中骨：碳纖維。
◎ 塗層表布可遮蔽99.7%紫外線，隔熱及防曬效果一流，最適合炎熱的夏季使用。六支骨架、輕量堅固耐用。</t>
        </is>
      </c>
    </row>
    <row r="1259">
      <c r="A1259" t="inlineStr"/>
      <c r="B1259" t="inlineStr"/>
      <c r="C1259" t="inlineStr">
        <is>
          <t>UMBRELLA</t>
        </is>
      </c>
      <c r="D1259">
        <f>U1259</f>
        <v/>
      </c>
      <c r="E1259" t="n">
        <v>1128694</v>
      </c>
      <c r="F1259" t="inlineStr">
        <is>
          <t>TRAVEL UMBRELLA 50</t>
        </is>
      </c>
      <c r="G1259" t="inlineStr">
        <is>
          <t>DGY      PU      WT</t>
        </is>
      </c>
      <c r="H1259" t="inlineStr">
        <is>
          <t>PU</t>
        </is>
      </c>
      <c r="J1259" t="n">
        <v>1980</v>
      </c>
      <c r="K1259" t="inlineStr">
        <is>
          <t>◎ 直徑：88cm、收納：26cm（摺疊長）、重量：90g。
◎ 傘布：10D Ballistic Airlight®抗撕裂聚酯纖維（撥水加工）；中骨：碳纖維。
◎ 六支骨架、輕量堅固耐用。</t>
        </is>
      </c>
    </row>
    <row r="1260">
      <c r="A1260" t="inlineStr"/>
      <c r="B1260" t="inlineStr"/>
      <c r="C1260" t="inlineStr">
        <is>
          <t>UMBRELLA</t>
        </is>
      </c>
      <c r="D1260">
        <f>U1260</f>
        <v/>
      </c>
      <c r="E1260" t="n">
        <v>1128695</v>
      </c>
      <c r="F1260" t="inlineStr">
        <is>
          <t>TRAVEL UMBRELLA 55</t>
        </is>
      </c>
      <c r="G1260" t="inlineStr">
        <is>
          <t>BGN      DGY      PU      WT</t>
        </is>
      </c>
      <c r="H1260" t="inlineStr">
        <is>
          <t>BGN</t>
        </is>
      </c>
      <c r="J1260" t="n">
        <v>1820</v>
      </c>
      <c r="K1260" t="inlineStr">
        <is>
          <t>◎ 直徑：97cm、收納：27cm（摺疊長）、重量：112g。
◎ 傘布：10D Ballistic Airlight®抗撕裂聚酯纖維（撥水加工）；中骨：碳纖維。
◎ 八支骨架、輕量堅固耐用。</t>
        </is>
      </c>
    </row>
    <row r="1261">
      <c r="A1261" t="inlineStr"/>
      <c r="B1261" t="inlineStr"/>
      <c r="C1261" t="inlineStr">
        <is>
          <t>UMBRELLA</t>
        </is>
      </c>
      <c r="D1261">
        <f>U1261</f>
        <v/>
      </c>
      <c r="E1261" t="n">
        <v>1128698</v>
      </c>
      <c r="F1261" t="inlineStr">
        <is>
          <t>TREKKING UMBRELLA 50</t>
        </is>
      </c>
      <c r="G1261" t="inlineStr">
        <is>
          <t>BGN      DGY      OG      PU</t>
        </is>
      </c>
      <c r="H1261" t="inlineStr">
        <is>
          <t>DGY</t>
        </is>
      </c>
      <c r="J1261" t="n">
        <v>1700</v>
      </c>
      <c r="K1261" t="inlineStr">
        <is>
          <t>◎ 直徑：86.5cm、長度：50cm、收納：26cm（摺疊長）、重量：139g。
◎ 傘布：20D聚酯纖維（撥水加工）；中骨：碳纖維。八支骨架、輕量堅固耐用。</t>
        </is>
      </c>
    </row>
    <row r="1262">
      <c r="A1262" t="inlineStr"/>
      <c r="B1262" t="inlineStr"/>
      <c r="C1262" t="inlineStr">
        <is>
          <t>UMBRELLA</t>
        </is>
      </c>
      <c r="D1262">
        <f>U1262</f>
        <v/>
      </c>
      <c r="E1262" t="n">
        <v>1128701</v>
      </c>
      <c r="F1262" t="inlineStr">
        <is>
          <t>TREKKING UMBRELLA 55</t>
        </is>
      </c>
      <c r="G1262" t="inlineStr">
        <is>
          <t>DGY      NV      PU      TQ</t>
        </is>
      </c>
      <c r="H1262" t="inlineStr">
        <is>
          <t>TQ</t>
        </is>
      </c>
      <c r="J1262" t="n">
        <v>1980</v>
      </c>
      <c r="K1262" t="inlineStr">
        <is>
          <t>◎ 直徑：95cm、長度：55cm、收納：27cm（摺疊長）、重量：153g。
◎ 傘布：20D聚酯纖維（撥水加工）；中骨：碳纖維。八支骨架、輕量堅固耐用。</t>
        </is>
      </c>
    </row>
    <row r="1263">
      <c r="A1263" t="inlineStr"/>
      <c r="B1263" t="inlineStr"/>
      <c r="C1263" t="inlineStr">
        <is>
          <t>UMBRELLA</t>
        </is>
      </c>
      <c r="D1263">
        <f>U1263</f>
        <v/>
      </c>
      <c r="E1263" t="n">
        <v>1128702</v>
      </c>
      <c r="F1263" t="inlineStr">
        <is>
          <t>TREKKING UMBRELLA 60</t>
        </is>
      </c>
      <c r="G1263" t="inlineStr">
        <is>
          <t>BK      BL      DGN      NV      RD</t>
        </is>
      </c>
      <c r="H1263" t="inlineStr">
        <is>
          <t>BL</t>
        </is>
      </c>
      <c r="J1263" t="n">
        <v>2300</v>
      </c>
      <c r="K1263" t="inlineStr">
        <is>
          <t>◎ 直徑：103cm、長度：60cm、收納：29cm（摺疊長）、重量：166g。
◎ 傘布：20D聚酯纖維（撥水加工）；中骨：碳纖維。八支骨架、輕量堅固耐用。</t>
        </is>
      </c>
    </row>
    <row r="1264">
      <c r="A1264" t="inlineStr">
        <is>
          <t>#</t>
        </is>
      </c>
      <c r="B1264" t="inlineStr">
        <is>
          <t>#</t>
        </is>
      </c>
      <c r="C1264" t="inlineStr">
        <is>
          <t>#</t>
        </is>
      </c>
      <c r="D1264" t="inlineStr">
        <is>
          <t>#</t>
        </is>
      </c>
      <c r="E1264" t="inlineStr">
        <is>
          <t>#</t>
        </is>
      </c>
      <c r="F1264" t="inlineStr">
        <is>
          <t>#</t>
        </is>
      </c>
      <c r="G1264" t="inlineStr">
        <is>
          <t>#</t>
        </is>
      </c>
      <c r="I1264" t="inlineStr">
        <is>
          <t>#</t>
        </is>
      </c>
      <c r="J1264" t="inlineStr">
        <is>
          <t>#</t>
        </is>
      </c>
      <c r="K1264" t="inlineStr">
        <is>
          <t>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2026-06-18T01:19:51Z</dcterms:created>
  <dcterms:modified xsi:type="dcterms:W3CDTF">2026-06-18T01:19:51Z</dcterms:modified>
</cp:coreProperties>
</file>